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rian\OneDrive\Desktop\Hospital Analysis\Hospital-Data-Analysis\"/>
    </mc:Choice>
  </mc:AlternateContent>
  <xr:revisionPtr revIDLastSave="0" documentId="8_{BEA4B1C6-17EF-4AB8-B7C2-1D45B977901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shboard" sheetId="3" r:id="rId1"/>
    <sheet name="hospital data analysis" sheetId="2" r:id="rId2"/>
    <sheet name="Pivot Tables" sheetId="1" r:id="rId3"/>
  </sheets>
  <definedNames>
    <definedName name="ExternalData_1" localSheetId="1" hidden="1">'hospital data analysis'!$A$1:$M$985</definedName>
  </definedNames>
  <calcPr calcId="191029"/>
  <pivotCaches>
    <pivotCache cacheId="2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D4" i="1"/>
  <c r="C4" i="1"/>
  <c r="B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FEB9B1-ECFB-4358-8D2C-B1CD0C6ACBDF}" keepAlive="1" name="Query - hospital data analysis" description="Connection to the 'hospital data analysis' query in the workbook." type="5" refreshedVersion="8" background="1" saveData="1">
    <dbPr connection="Provider=Microsoft.Mashup.OleDb.1;Data Source=$Workbook$;Location=&quot;hospital data analysis&quot;;Extended Properties=&quot;&quot;" command="SELECT * FROM [hospital data analysis]"/>
  </connection>
</connections>
</file>

<file path=xl/sharedStrings.xml><?xml version="1.0" encoding="utf-8"?>
<sst xmlns="http://schemas.openxmlformats.org/spreadsheetml/2006/main" count="7930" uniqueCount="70">
  <si>
    <t>Patient_ID</t>
  </si>
  <si>
    <t>Age</t>
  </si>
  <si>
    <t>Gender</t>
  </si>
  <si>
    <t>Condition</t>
  </si>
  <si>
    <t>Procedure</t>
  </si>
  <si>
    <t>Cost</t>
  </si>
  <si>
    <t>Length_of_Stay</t>
  </si>
  <si>
    <t>Readmission</t>
  </si>
  <si>
    <t>Outcome</t>
  </si>
  <si>
    <t>Satisfaction</t>
  </si>
  <si>
    <t>Female</t>
  </si>
  <si>
    <t>Heart Disease</t>
  </si>
  <si>
    <t>Angioplasty</t>
  </si>
  <si>
    <t>No</t>
  </si>
  <si>
    <t>Recovered</t>
  </si>
  <si>
    <t>Male</t>
  </si>
  <si>
    <t>Diabetes</t>
  </si>
  <si>
    <t>Insulin Therapy</t>
  </si>
  <si>
    <t>Yes</t>
  </si>
  <si>
    <t>Stable</t>
  </si>
  <si>
    <t>Fractured Arm</t>
  </si>
  <si>
    <t>X-Ray and Splint</t>
  </si>
  <si>
    <t>Stroke</t>
  </si>
  <si>
    <t>CT Scan and Medication</t>
  </si>
  <si>
    <t>Cancer</t>
  </si>
  <si>
    <t>Surgery and Chemotherapy</t>
  </si>
  <si>
    <t>Hypertension</t>
  </si>
  <si>
    <t>Medication and Counseling</t>
  </si>
  <si>
    <t>Appendicitis</t>
  </si>
  <si>
    <t>Appendectomy</t>
  </si>
  <si>
    <t>Fractured Leg</t>
  </si>
  <si>
    <t>Cast and Physical Therapy</t>
  </si>
  <si>
    <t>Heart Attack</t>
  </si>
  <si>
    <t>Cardiac Catheterization</t>
  </si>
  <si>
    <t>Allergic Reaction</t>
  </si>
  <si>
    <t>Epinephrine Injection</t>
  </si>
  <si>
    <t>Respiratory Infection</t>
  </si>
  <si>
    <t>Antibiotics and Rest</t>
  </si>
  <si>
    <t>Prostate Cancer</t>
  </si>
  <si>
    <t>Radiation Therapy</t>
  </si>
  <si>
    <t>Childbirth</t>
  </si>
  <si>
    <t>Delivery and Postnatal Care</t>
  </si>
  <si>
    <t>Kidney Stones</t>
  </si>
  <si>
    <t>Lithotripsy</t>
  </si>
  <si>
    <t>Osteoarthritis</t>
  </si>
  <si>
    <t>Physical Therapy and Pain Management</t>
  </si>
  <si>
    <t>Age Group</t>
  </si>
  <si>
    <t>Admission Days</t>
  </si>
  <si>
    <t>Customer Rating</t>
  </si>
  <si>
    <t>Adult</t>
  </si>
  <si>
    <t>Short</t>
  </si>
  <si>
    <t>Excelent</t>
  </si>
  <si>
    <t>Good</t>
  </si>
  <si>
    <t>Youth</t>
  </si>
  <si>
    <t>Ultra-Short</t>
  </si>
  <si>
    <t>Old</t>
  </si>
  <si>
    <t>Medium</t>
  </si>
  <si>
    <t>Poor</t>
  </si>
  <si>
    <t>Long</t>
  </si>
  <si>
    <t>Chronic</t>
  </si>
  <si>
    <t>Sum of Patient_ID</t>
  </si>
  <si>
    <t>Sum of Length_of_Stay</t>
  </si>
  <si>
    <t>Average of Age</t>
  </si>
  <si>
    <t>Average of Length_of_Stay</t>
  </si>
  <si>
    <t>Average of Satisfaction</t>
  </si>
  <si>
    <t>Count of Patient_ID</t>
  </si>
  <si>
    <t>Row Labels</t>
  </si>
  <si>
    <t>Grand Total</t>
  </si>
  <si>
    <t>Column Labels</t>
  </si>
  <si>
    <t>Count of Satisfaction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</si>
</sst>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9"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5B94"/>
      <color rgb="FF5B9BD5"/>
      <color rgb="FFBFBFBF"/>
      <color rgb="FFD9D9D9"/>
      <color rgb="FFF4F6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[Patient segmentation.xlsx]Pivot Tables!PivotTable2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D9D9D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Tables'!$C$6:$C$7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Tables'!$B$8:$B$11</c:f>
              <c:strCache>
                <c:ptCount val="3"/>
                <c:pt idx="0">
                  <c:v>Adult</c:v>
                </c:pt>
                <c:pt idx="1">
                  <c:v>Old</c:v>
                </c:pt>
                <c:pt idx="2">
                  <c:v>Youth</c:v>
                </c:pt>
              </c:strCache>
            </c:strRef>
          </c:cat>
          <c:val>
            <c:numRef>
              <c:f>'Pivot Tables'!$C$8:$C$11</c:f>
              <c:numCache>
                <c:formatCode>General</c:formatCode>
                <c:ptCount val="3"/>
                <c:pt idx="0">
                  <c:v>294</c:v>
                </c:pt>
                <c:pt idx="1">
                  <c:v>99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3-49C2-82AE-0D79BEC0E1CA}"/>
            </c:ext>
          </c:extLst>
        </c:ser>
        <c:ser>
          <c:idx val="1"/>
          <c:order val="1"/>
          <c:tx>
            <c:strRef>
              <c:f>'Pivot Tables'!$D$6:$D$7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  <a:effectLst/>
          </c:spPr>
          <c:invertIfNegative val="0"/>
          <c:cat>
            <c:strRef>
              <c:f>'Pivot Tables'!$B$8:$B$11</c:f>
              <c:strCache>
                <c:ptCount val="3"/>
                <c:pt idx="0">
                  <c:v>Adult</c:v>
                </c:pt>
                <c:pt idx="1">
                  <c:v>Old</c:v>
                </c:pt>
                <c:pt idx="2">
                  <c:v>Youth</c:v>
                </c:pt>
              </c:strCache>
            </c:strRef>
          </c:cat>
          <c:val>
            <c:numRef>
              <c:f>'Pivot Tables'!$D$8:$D$11</c:f>
              <c:numCache>
                <c:formatCode>General</c:formatCode>
                <c:ptCount val="3"/>
                <c:pt idx="0">
                  <c:v>165</c:v>
                </c:pt>
                <c:pt idx="1">
                  <c:v>229</c:v>
                </c:pt>
                <c:pt idx="2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D3-49C2-82AE-0D79BEC0E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5"/>
        <c:overlap val="44"/>
        <c:axId val="971382015"/>
        <c:axId val="971382495"/>
      </c:barChart>
      <c:catAx>
        <c:axId val="9713820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971382495"/>
        <c:crosses val="autoZero"/>
        <c:auto val="1"/>
        <c:lblAlgn val="ctr"/>
        <c:lblOffset val="100"/>
        <c:noMultiLvlLbl val="0"/>
      </c:catAx>
      <c:valAx>
        <c:axId val="97138249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971382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2828792350241813"/>
          <c:y val="3.9199668294670385E-2"/>
          <c:w val="0.35357731707645468"/>
          <c:h val="0.11024983872577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[Patient segmentation.xlsx]Pivot Tables!PivotTable17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5B94"/>
          </a:solidFill>
          <a:ln>
            <a:noFill/>
          </a:ln>
          <a:effectLst/>
        </c:spPr>
      </c:pivotFmt>
      <c:pivotFmt>
        <c:idx val="6"/>
        <c:spPr>
          <a:solidFill>
            <a:srgbClr val="005B94">
              <a:alpha val="80000"/>
            </a:srgbClr>
          </a:solidFill>
          <a:ln>
            <a:noFill/>
          </a:ln>
          <a:effectLst/>
        </c:spPr>
      </c:pivotFmt>
      <c:pivotFmt>
        <c:idx val="7"/>
        <c:spPr>
          <a:solidFill>
            <a:srgbClr val="005B94">
              <a:alpha val="49000"/>
            </a:srgbClr>
          </a:solidFill>
          <a:ln>
            <a:noFill/>
          </a:ln>
          <a:effectLst/>
        </c:spPr>
      </c:pivotFmt>
      <c:pivotFmt>
        <c:idx val="8"/>
        <c:spPr>
          <a:solidFill>
            <a:srgbClr val="005B94">
              <a:alpha val="35000"/>
            </a:srgbClr>
          </a:solidFill>
          <a:ln>
            <a:noFill/>
          </a:ln>
          <a:effectLst/>
        </c:spPr>
      </c:pivotFmt>
      <c:pivotFmt>
        <c:idx val="9"/>
        <c:spPr>
          <a:solidFill>
            <a:srgbClr val="005B94">
              <a:alpha val="28000"/>
            </a:srgb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1268294275640079"/>
          <c:y val="6.5573625826009757E-2"/>
          <c:w val="0.64622433800864743"/>
          <c:h val="0.879781524218816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Tables'!$C$19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5B94">
                  <a:alpha val="28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3F-4DFF-8473-0D1AED5226FF}"/>
              </c:ext>
            </c:extLst>
          </c:dPt>
          <c:dPt>
            <c:idx val="1"/>
            <c:invertIfNegative val="0"/>
            <c:bubble3D val="0"/>
            <c:spPr>
              <a:solidFill>
                <a:srgbClr val="005B94">
                  <a:alpha val="35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23F-4DFF-8473-0D1AED5226FF}"/>
              </c:ext>
            </c:extLst>
          </c:dPt>
          <c:dPt>
            <c:idx val="2"/>
            <c:invertIfNegative val="0"/>
            <c:bubble3D val="0"/>
            <c:spPr>
              <a:solidFill>
                <a:srgbClr val="005B94">
                  <a:alpha val="4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3F-4DFF-8473-0D1AED5226FF}"/>
              </c:ext>
            </c:extLst>
          </c:dPt>
          <c:dPt>
            <c:idx val="3"/>
            <c:invertIfNegative val="0"/>
            <c:bubble3D val="0"/>
            <c:spPr>
              <a:solidFill>
                <a:srgbClr val="005B94">
                  <a:alpha val="8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23F-4DFF-8473-0D1AED5226FF}"/>
              </c:ext>
            </c:extLst>
          </c:dPt>
          <c:dPt>
            <c:idx val="4"/>
            <c:invertIfNegative val="0"/>
            <c:bubble3D val="0"/>
            <c:spPr>
              <a:solidFill>
                <a:srgbClr val="005B9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3F-4DFF-8473-0D1AED5226FF}"/>
              </c:ext>
            </c:extLst>
          </c:dPt>
          <c:cat>
            <c:strRef>
              <c:f>'Pivot Tables'!$B$20:$B$25</c:f>
              <c:strCache>
                <c:ptCount val="5"/>
                <c:pt idx="0">
                  <c:v>Appendicitis</c:v>
                </c:pt>
                <c:pt idx="1">
                  <c:v>Fractured Arm</c:v>
                </c:pt>
                <c:pt idx="2">
                  <c:v>Allergic Reaction</c:v>
                </c:pt>
                <c:pt idx="3">
                  <c:v>Fractured Leg</c:v>
                </c:pt>
                <c:pt idx="4">
                  <c:v>Heart Attack</c:v>
                </c:pt>
              </c:strCache>
            </c:strRef>
          </c:cat>
          <c:val>
            <c:numRef>
              <c:f>'Pivot Tables'!$C$20:$C$25</c:f>
              <c:numCache>
                <c:formatCode>General</c:formatCode>
                <c:ptCount val="5"/>
                <c:pt idx="0">
                  <c:v>32667</c:v>
                </c:pt>
                <c:pt idx="1">
                  <c:v>33123</c:v>
                </c:pt>
                <c:pt idx="2">
                  <c:v>33540</c:v>
                </c:pt>
                <c:pt idx="3">
                  <c:v>33701</c:v>
                </c:pt>
                <c:pt idx="4">
                  <c:v>33768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F-4DFF-8473-0D1AED522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1725023"/>
        <c:axId val="203168719"/>
      </c:barChart>
      <c:catAx>
        <c:axId val="201725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Segoe UI Semibold" panose="020B0702040204020203" pitchFamily="34" charset="0"/>
              </a:defRPr>
            </a:pPr>
            <a:endParaRPr lang="en-KE"/>
          </a:p>
        </c:txPr>
        <c:crossAx val="203168719"/>
        <c:crosses val="autoZero"/>
        <c:auto val="1"/>
        <c:lblAlgn val="ctr"/>
        <c:lblOffset val="100"/>
        <c:noMultiLvlLbl val="0"/>
      </c:catAx>
      <c:valAx>
        <c:axId val="2031687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1725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[Patient segmentation.xlsx]Pivot Tables!PivotTable18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BFBFB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Tables'!$C$30:$C$31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Tables'!$B$32:$B$34</c:f>
              <c:strCache>
                <c:ptCount val="2"/>
                <c:pt idx="0">
                  <c:v>Recovered</c:v>
                </c:pt>
                <c:pt idx="1">
                  <c:v>Stable</c:v>
                </c:pt>
              </c:strCache>
            </c:strRef>
          </c:cat>
          <c:val>
            <c:numRef>
              <c:f>'Pivot Tables'!$C$32:$C$34</c:f>
              <c:numCache>
                <c:formatCode>General</c:formatCode>
                <c:ptCount val="2"/>
                <c:pt idx="0">
                  <c:v>328</c:v>
                </c:pt>
                <c:pt idx="1">
                  <c:v>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A-4773-8587-EBB2667A2660}"/>
            </c:ext>
          </c:extLst>
        </c:ser>
        <c:ser>
          <c:idx val="1"/>
          <c:order val="1"/>
          <c:tx>
            <c:strRef>
              <c:f>'Pivot Tables'!$D$30:$D$31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BFBFBF"/>
            </a:solidFill>
            <a:ln>
              <a:noFill/>
            </a:ln>
            <a:effectLst/>
          </c:spPr>
          <c:invertIfNegative val="0"/>
          <c:cat>
            <c:strRef>
              <c:f>'Pivot Tables'!$B$32:$B$34</c:f>
              <c:strCache>
                <c:ptCount val="2"/>
                <c:pt idx="0">
                  <c:v>Recovered</c:v>
                </c:pt>
                <c:pt idx="1">
                  <c:v>Stable</c:v>
                </c:pt>
              </c:strCache>
            </c:strRef>
          </c:cat>
          <c:val>
            <c:numRef>
              <c:f>'Pivot Tables'!$D$32:$D$34</c:f>
              <c:numCache>
                <c:formatCode>General</c:formatCode>
                <c:ptCount val="2"/>
                <c:pt idx="0">
                  <c:v>263</c:v>
                </c:pt>
                <c:pt idx="1">
                  <c:v>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A-4773-8587-EBB2667A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6"/>
        <c:overlap val="44"/>
        <c:axId val="2116317935"/>
        <c:axId val="2116326095"/>
      </c:barChart>
      <c:catAx>
        <c:axId val="2116317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2116326095"/>
        <c:crosses val="autoZero"/>
        <c:auto val="1"/>
        <c:lblAlgn val="ctr"/>
        <c:lblOffset val="100"/>
        <c:noMultiLvlLbl val="0"/>
      </c:catAx>
      <c:valAx>
        <c:axId val="21163260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11631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606078940724744"/>
          <c:y val="6.8669558838637346E-2"/>
          <c:w val="0.34393927272365088"/>
          <c:h val="0.10507294488412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[Patient segmentation.xlsx]Pivot Tables!PivotTable20</c:name>
    <c:fmtId val="5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005B94"/>
          </a:solidFill>
          <a:ln>
            <a:noFill/>
          </a:ln>
          <a:effectLst/>
        </c:spPr>
      </c:pivotFmt>
      <c:pivotFmt>
        <c:idx val="7"/>
        <c:spPr>
          <a:solidFill>
            <a:srgbClr val="5B9BD5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Tables'!$E$56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005B9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CBD-4273-ADD0-B83D58FE46A3}"/>
              </c:ext>
            </c:extLst>
          </c:dPt>
          <c:dPt>
            <c:idx val="1"/>
            <c:bubble3D val="0"/>
            <c:spPr>
              <a:solidFill>
                <a:srgbClr val="5B9BD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CBD-4273-ADD0-B83D58FE46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CBD-4273-ADD0-B83D58FE46A3}"/>
              </c:ext>
            </c:extLst>
          </c:dPt>
          <c:cat>
            <c:strRef>
              <c:f>'Pivot Tables'!$D$57:$D$60</c:f>
              <c:strCache>
                <c:ptCount val="3"/>
                <c:pt idx="0">
                  <c:v>Excelent</c:v>
                </c:pt>
                <c:pt idx="1">
                  <c:v>Good</c:v>
                </c:pt>
                <c:pt idx="2">
                  <c:v>Poor</c:v>
                </c:pt>
              </c:strCache>
            </c:strRef>
          </c:cat>
          <c:val>
            <c:numRef>
              <c:f>'Pivot Tables'!$E$57:$E$60</c:f>
              <c:numCache>
                <c:formatCode>General</c:formatCode>
                <c:ptCount val="3"/>
                <c:pt idx="0">
                  <c:v>590</c:v>
                </c:pt>
                <c:pt idx="1">
                  <c:v>261</c:v>
                </c:pt>
                <c:pt idx="2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CBD-4273-ADD0-B83D58FE4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2"/>
        <c:holeSize val="8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449462685088906"/>
          <c:y val="0.31425852968066836"/>
          <c:w val="0.23525380082206707"/>
          <c:h val="0.36919117444392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[Patient segmentation.xlsx]Pivot Tables!PivotTable19</c:name>
    <c:fmtId val="5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Tables'!$D$41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'Pivot Tables'!$C$42:$C$47</c:f>
              <c:strCache>
                <c:ptCount val="5"/>
                <c:pt idx="0">
                  <c:v>Chronic</c:v>
                </c:pt>
                <c:pt idx="1">
                  <c:v>Long</c:v>
                </c:pt>
                <c:pt idx="2">
                  <c:v>Medium</c:v>
                </c:pt>
                <c:pt idx="3">
                  <c:v>Short</c:v>
                </c:pt>
                <c:pt idx="4">
                  <c:v>Ultra-Short</c:v>
                </c:pt>
              </c:strCache>
            </c:strRef>
          </c:cat>
          <c:val>
            <c:numRef>
              <c:f>'Pivot Tables'!$D$42:$D$47</c:f>
              <c:numCache>
                <c:formatCode>General</c:formatCode>
                <c:ptCount val="5"/>
                <c:pt idx="0">
                  <c:v>30369</c:v>
                </c:pt>
                <c:pt idx="1">
                  <c:v>6060</c:v>
                </c:pt>
                <c:pt idx="2">
                  <c:v>522</c:v>
                </c:pt>
                <c:pt idx="3">
                  <c:v>100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7D-4CBD-9C5F-6861F4A889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76525855"/>
        <c:axId val="976523935"/>
      </c:barChart>
      <c:catAx>
        <c:axId val="976525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976523935"/>
        <c:crosses val="autoZero"/>
        <c:auto val="1"/>
        <c:lblAlgn val="ctr"/>
        <c:lblOffset val="100"/>
        <c:noMultiLvlLbl val="0"/>
      </c:catAx>
      <c:valAx>
        <c:axId val="97652393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76525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13" Type="http://schemas.openxmlformats.org/officeDocument/2006/relationships/hyperlink" Target="#'Pivot Tables'!A1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12" Type="http://schemas.openxmlformats.org/officeDocument/2006/relationships/hyperlink" Target="#Dashboard!A1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chart" Target="../charts/chart5.xml"/><Relationship Id="rId5" Type="http://schemas.openxmlformats.org/officeDocument/2006/relationships/image" Target="../media/image5.png"/><Relationship Id="rId10" Type="http://schemas.openxmlformats.org/officeDocument/2006/relationships/chart" Target="../charts/chart4.xml"/><Relationship Id="rId4" Type="http://schemas.openxmlformats.org/officeDocument/2006/relationships/image" Target="../media/image4.png"/><Relationship Id="rId9" Type="http://schemas.openxmlformats.org/officeDocument/2006/relationships/chart" Target="../charts/chart3.xml"/><Relationship Id="rId14" Type="http://schemas.openxmlformats.org/officeDocument/2006/relationships/hyperlink" Target="#'hospital data analysis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303303</xdr:colOff>
      <xdr:row>3</xdr:row>
      <xdr:rowOff>69931</xdr:rowOff>
    </xdr:from>
    <xdr:to>
      <xdr:col>24</xdr:col>
      <xdr:colOff>504370</xdr:colOff>
      <xdr:row>46</xdr:row>
      <xdr:rowOff>163511</xdr:rowOff>
    </xdr:to>
    <xdr:sp macro="" textlink="">
      <xdr:nvSpPr>
        <xdr:cNvPr id="38" name="Rectangle: Rounded Corners 37">
          <a:extLst>
            <a:ext uri="{FF2B5EF4-FFF2-40B4-BE49-F238E27FC236}">
              <a16:creationId xmlns:a16="http://schemas.microsoft.com/office/drawing/2014/main" id="{5442EDA3-A8A5-C681-1AA0-24E3CDA8F213}"/>
            </a:ext>
          </a:extLst>
        </xdr:cNvPr>
        <xdr:cNvSpPr/>
      </xdr:nvSpPr>
      <xdr:spPr>
        <a:xfrm>
          <a:off x="1517741" y="605712"/>
          <a:ext cx="13559879" cy="7773112"/>
        </a:xfrm>
        <a:prstGeom prst="roundRect">
          <a:avLst>
            <a:gd name="adj" fmla="val 2790"/>
          </a:avLst>
        </a:prstGeom>
        <a:solidFill>
          <a:srgbClr val="F4F6F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8</xdr:col>
      <xdr:colOff>68549</xdr:colOff>
      <xdr:row>10</xdr:row>
      <xdr:rowOff>136711</xdr:rowOff>
    </xdr:from>
    <xdr:to>
      <xdr:col>24</xdr:col>
      <xdr:colOff>316527</xdr:colOff>
      <xdr:row>16</xdr:row>
      <xdr:rowOff>163793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508C52E1-896C-79EB-EA8C-8CB5ED738AB1}"/>
            </a:ext>
          </a:extLst>
        </xdr:cNvPr>
        <xdr:cNvSpPr/>
      </xdr:nvSpPr>
      <xdr:spPr>
        <a:xfrm>
          <a:off x="4926299" y="1922649"/>
          <a:ext cx="9963478" cy="1098644"/>
        </a:xfrm>
        <a:prstGeom prst="roundRect">
          <a:avLst>
            <a:gd name="adj" fmla="val 945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8</xdr:col>
      <xdr:colOff>56646</xdr:colOff>
      <xdr:row>17</xdr:row>
      <xdr:rowOff>92360</xdr:rowOff>
    </xdr:from>
    <xdr:to>
      <xdr:col>13</xdr:col>
      <xdr:colOff>265887</xdr:colOff>
      <xdr:row>29</xdr:row>
      <xdr:rowOff>68795</xdr:rowOff>
    </xdr:to>
    <xdr:sp macro="" textlink="">
      <xdr:nvSpPr>
        <xdr:cNvPr id="40" name="Rectangle: Rounded Corners 39">
          <a:extLst>
            <a:ext uri="{FF2B5EF4-FFF2-40B4-BE49-F238E27FC236}">
              <a16:creationId xmlns:a16="http://schemas.microsoft.com/office/drawing/2014/main" id="{5512466C-F2CE-A907-F5B1-A8A82B7DD025}"/>
            </a:ext>
          </a:extLst>
        </xdr:cNvPr>
        <xdr:cNvSpPr/>
      </xdr:nvSpPr>
      <xdr:spPr>
        <a:xfrm>
          <a:off x="4914396" y="3128454"/>
          <a:ext cx="3245335" cy="2119560"/>
        </a:xfrm>
        <a:prstGeom prst="roundRect">
          <a:avLst>
            <a:gd name="adj" fmla="val 477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2</xdr:col>
      <xdr:colOff>168156</xdr:colOff>
      <xdr:row>3</xdr:row>
      <xdr:rowOff>58230</xdr:rowOff>
    </xdr:from>
    <xdr:to>
      <xdr:col>5</xdr:col>
      <xdr:colOff>289089</xdr:colOff>
      <xdr:row>46</xdr:row>
      <xdr:rowOff>151808</xdr:rowOff>
    </xdr:to>
    <xdr:sp macro="" textlink="">
      <xdr:nvSpPr>
        <xdr:cNvPr id="41" name="Rectangle: Top Corners Rounded 40">
          <a:extLst>
            <a:ext uri="{FF2B5EF4-FFF2-40B4-BE49-F238E27FC236}">
              <a16:creationId xmlns:a16="http://schemas.microsoft.com/office/drawing/2014/main" id="{A8271511-103B-E26E-9672-50CA828813A6}"/>
            </a:ext>
          </a:extLst>
        </xdr:cNvPr>
        <xdr:cNvSpPr/>
      </xdr:nvSpPr>
      <xdr:spPr>
        <a:xfrm rot="16200000">
          <a:off x="-1532666" y="3509271"/>
          <a:ext cx="7773110" cy="1942589"/>
        </a:xfrm>
        <a:prstGeom prst="round2Same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13</xdr:col>
      <xdr:colOff>392256</xdr:colOff>
      <xdr:row>29</xdr:row>
      <xdr:rowOff>140970</xdr:rowOff>
    </xdr:from>
    <xdr:to>
      <xdr:col>24</xdr:col>
      <xdr:colOff>326320</xdr:colOff>
      <xdr:row>45</xdr:row>
      <xdr:rowOff>49999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A7329E12-4E5A-692A-808B-5A772834846C}"/>
            </a:ext>
          </a:extLst>
        </xdr:cNvPr>
        <xdr:cNvSpPr/>
      </xdr:nvSpPr>
      <xdr:spPr>
        <a:xfrm>
          <a:off x="8286100" y="5320189"/>
          <a:ext cx="6613470" cy="2766529"/>
        </a:xfrm>
        <a:prstGeom prst="roundRect">
          <a:avLst>
            <a:gd name="adj" fmla="val 477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8</xdr:col>
      <xdr:colOff>20927</xdr:colOff>
      <xdr:row>29</xdr:row>
      <xdr:rowOff>144145</xdr:rowOff>
    </xdr:from>
    <xdr:to>
      <xdr:col>13</xdr:col>
      <xdr:colOff>230166</xdr:colOff>
      <xdr:row>45</xdr:row>
      <xdr:rowOff>46824</xdr:rowOff>
    </xdr:to>
    <xdr:sp macro="" textlink="">
      <xdr:nvSpPr>
        <xdr:cNvPr id="43" name="Rectangle: Rounded Corners 42">
          <a:extLst>
            <a:ext uri="{FF2B5EF4-FFF2-40B4-BE49-F238E27FC236}">
              <a16:creationId xmlns:a16="http://schemas.microsoft.com/office/drawing/2014/main" id="{2081365C-2488-8D60-7463-9A07F331DF8A}"/>
            </a:ext>
          </a:extLst>
        </xdr:cNvPr>
        <xdr:cNvSpPr/>
      </xdr:nvSpPr>
      <xdr:spPr>
        <a:xfrm>
          <a:off x="4878677" y="5323364"/>
          <a:ext cx="3245333" cy="2760179"/>
        </a:xfrm>
        <a:prstGeom prst="roundRect">
          <a:avLst>
            <a:gd name="adj" fmla="val 477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20</xdr:col>
      <xdr:colOff>229487</xdr:colOff>
      <xdr:row>11</xdr:row>
      <xdr:rowOff>56026</xdr:rowOff>
    </xdr:from>
    <xdr:to>
      <xdr:col>24</xdr:col>
      <xdr:colOff>148075</xdr:colOff>
      <xdr:row>16</xdr:row>
      <xdr:rowOff>65882</xdr:rowOff>
    </xdr:to>
    <xdr:sp macro="" textlink="">
      <xdr:nvSpPr>
        <xdr:cNvPr id="44" name="Rectangle: Rounded Corners 43">
          <a:extLst>
            <a:ext uri="{FF2B5EF4-FFF2-40B4-BE49-F238E27FC236}">
              <a16:creationId xmlns:a16="http://schemas.microsoft.com/office/drawing/2014/main" id="{346708BE-AE6A-83B3-AAE4-8B1C3824785A}"/>
            </a:ext>
          </a:extLst>
        </xdr:cNvPr>
        <xdr:cNvSpPr/>
      </xdr:nvSpPr>
      <xdr:spPr>
        <a:xfrm>
          <a:off x="12373862" y="2020557"/>
          <a:ext cx="2347463" cy="902825"/>
        </a:xfrm>
        <a:prstGeom prst="roundRect">
          <a:avLst>
            <a:gd name="adj" fmla="val 12362"/>
          </a:avLst>
        </a:prstGeom>
        <a:solidFill>
          <a:srgbClr val="D9D9D9">
            <a:alpha val="42745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16</xdr:col>
      <xdr:colOff>195477</xdr:colOff>
      <xdr:row>11</xdr:row>
      <xdr:rowOff>56026</xdr:rowOff>
    </xdr:from>
    <xdr:to>
      <xdr:col>20</xdr:col>
      <xdr:colOff>118953</xdr:colOff>
      <xdr:row>16</xdr:row>
      <xdr:rowOff>65882</xdr:rowOff>
    </xdr:to>
    <xdr:sp macro="" textlink="">
      <xdr:nvSpPr>
        <xdr:cNvPr id="45" name="Rectangle: Rounded Corners 44">
          <a:extLst>
            <a:ext uri="{FF2B5EF4-FFF2-40B4-BE49-F238E27FC236}">
              <a16:creationId xmlns:a16="http://schemas.microsoft.com/office/drawing/2014/main" id="{BC79F454-2E2E-6D6D-0718-1219EE45AE99}"/>
            </a:ext>
          </a:extLst>
        </xdr:cNvPr>
        <xdr:cNvSpPr/>
      </xdr:nvSpPr>
      <xdr:spPr>
        <a:xfrm>
          <a:off x="9910977" y="2020557"/>
          <a:ext cx="2352351" cy="902825"/>
        </a:xfrm>
        <a:prstGeom prst="roundRect">
          <a:avLst>
            <a:gd name="adj" fmla="val 12362"/>
          </a:avLst>
        </a:prstGeom>
        <a:solidFill>
          <a:schemeClr val="bg1">
            <a:lumMod val="85000"/>
            <a:alpha val="43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12</xdr:col>
      <xdr:colOff>164523</xdr:colOff>
      <xdr:row>11</xdr:row>
      <xdr:rowOff>56026</xdr:rowOff>
    </xdr:from>
    <xdr:to>
      <xdr:col>16</xdr:col>
      <xdr:colOff>87999</xdr:colOff>
      <xdr:row>16</xdr:row>
      <xdr:rowOff>65882</xdr:rowOff>
    </xdr:to>
    <xdr:sp macro="" textlink="">
      <xdr:nvSpPr>
        <xdr:cNvPr id="46" name="Rectangle: Rounded Corners 45">
          <a:extLst>
            <a:ext uri="{FF2B5EF4-FFF2-40B4-BE49-F238E27FC236}">
              <a16:creationId xmlns:a16="http://schemas.microsoft.com/office/drawing/2014/main" id="{31ABEADD-B2D9-BF58-4170-10B69443F500}"/>
            </a:ext>
          </a:extLst>
        </xdr:cNvPr>
        <xdr:cNvSpPr/>
      </xdr:nvSpPr>
      <xdr:spPr>
        <a:xfrm>
          <a:off x="7451148" y="2020557"/>
          <a:ext cx="2352351" cy="902825"/>
        </a:xfrm>
        <a:prstGeom prst="roundRect">
          <a:avLst>
            <a:gd name="adj" fmla="val 12362"/>
          </a:avLst>
        </a:prstGeom>
        <a:solidFill>
          <a:schemeClr val="bg1">
            <a:lumMod val="85000"/>
            <a:alpha val="43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8</xdr:col>
      <xdr:colOff>136013</xdr:colOff>
      <xdr:row>11</xdr:row>
      <xdr:rowOff>56026</xdr:rowOff>
    </xdr:from>
    <xdr:to>
      <xdr:col>12</xdr:col>
      <xdr:colOff>59489</xdr:colOff>
      <xdr:row>16</xdr:row>
      <xdr:rowOff>65882</xdr:rowOff>
    </xdr:to>
    <xdr:sp macro="" textlink="">
      <xdr:nvSpPr>
        <xdr:cNvPr id="47" name="Rectangle: Rounded Corners 46">
          <a:extLst>
            <a:ext uri="{FF2B5EF4-FFF2-40B4-BE49-F238E27FC236}">
              <a16:creationId xmlns:a16="http://schemas.microsoft.com/office/drawing/2014/main" id="{D456E709-5508-367D-4B2C-15D9A9450F1A}"/>
            </a:ext>
          </a:extLst>
        </xdr:cNvPr>
        <xdr:cNvSpPr/>
      </xdr:nvSpPr>
      <xdr:spPr>
        <a:xfrm>
          <a:off x="4993763" y="2020557"/>
          <a:ext cx="2352351" cy="902825"/>
        </a:xfrm>
        <a:prstGeom prst="roundRect">
          <a:avLst>
            <a:gd name="adj" fmla="val 12362"/>
          </a:avLst>
        </a:prstGeom>
        <a:solidFill>
          <a:schemeClr val="bg1">
            <a:lumMod val="85000"/>
            <a:alpha val="43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13</xdr:col>
      <xdr:colOff>395431</xdr:colOff>
      <xdr:row>17</xdr:row>
      <xdr:rowOff>92360</xdr:rowOff>
    </xdr:from>
    <xdr:to>
      <xdr:col>18</xdr:col>
      <xdr:colOff>604671</xdr:colOff>
      <xdr:row>29</xdr:row>
      <xdr:rowOff>68795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34C7C484-4142-6023-342F-36EC4F8568A7}"/>
            </a:ext>
          </a:extLst>
        </xdr:cNvPr>
        <xdr:cNvSpPr/>
      </xdr:nvSpPr>
      <xdr:spPr>
        <a:xfrm>
          <a:off x="8289275" y="3128454"/>
          <a:ext cx="3245334" cy="2119560"/>
        </a:xfrm>
        <a:prstGeom prst="roundRect">
          <a:avLst>
            <a:gd name="adj" fmla="val 477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19</xdr:col>
      <xdr:colOff>197979</xdr:colOff>
      <xdr:row>17</xdr:row>
      <xdr:rowOff>116172</xdr:rowOff>
    </xdr:from>
    <xdr:to>
      <xdr:col>24</xdr:col>
      <xdr:colOff>409663</xdr:colOff>
      <xdr:row>29</xdr:row>
      <xdr:rowOff>92607</xdr:rowOff>
    </xdr:to>
    <xdr:sp macro="" textlink="">
      <xdr:nvSpPr>
        <xdr:cNvPr id="49" name="Rectangle: Rounded Corners 48">
          <a:extLst>
            <a:ext uri="{FF2B5EF4-FFF2-40B4-BE49-F238E27FC236}">
              <a16:creationId xmlns:a16="http://schemas.microsoft.com/office/drawing/2014/main" id="{655FE632-2E3D-5B60-3E6E-1D89EC2144AA}"/>
            </a:ext>
          </a:extLst>
        </xdr:cNvPr>
        <xdr:cNvSpPr/>
      </xdr:nvSpPr>
      <xdr:spPr>
        <a:xfrm>
          <a:off x="11735135" y="3152266"/>
          <a:ext cx="3247778" cy="2119560"/>
        </a:xfrm>
        <a:prstGeom prst="roundRect">
          <a:avLst>
            <a:gd name="adj" fmla="val 477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KE"/>
        </a:p>
      </xdr:txBody>
    </xdr:sp>
    <xdr:clientData/>
  </xdr:twoCellAnchor>
  <xdr:twoCellAnchor>
    <xdr:from>
      <xdr:col>5</xdr:col>
      <xdr:colOff>580786</xdr:colOff>
      <xdr:row>8</xdr:row>
      <xdr:rowOff>10789</xdr:rowOff>
    </xdr:from>
    <xdr:to>
      <xdr:col>24</xdr:col>
      <xdr:colOff>511968</xdr:colOff>
      <xdr:row>8</xdr:row>
      <xdr:rowOff>10789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F9D486AA-D206-339D-F767-D87D2E675FB0}"/>
            </a:ext>
          </a:extLst>
        </xdr:cNvPr>
        <xdr:cNvCxnSpPr>
          <a:cxnSpLocks/>
        </xdr:cNvCxnSpPr>
      </xdr:nvCxnSpPr>
      <xdr:spPr>
        <a:xfrm>
          <a:off x="3616880" y="1439539"/>
          <a:ext cx="11468338" cy="0"/>
        </a:xfrm>
        <a:prstGeom prst="line">
          <a:avLst/>
        </a:prstGeom>
        <a:ln>
          <a:solidFill>
            <a:schemeClr val="bg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559151</xdr:colOff>
      <xdr:row>3</xdr:row>
      <xdr:rowOff>142354</xdr:rowOff>
    </xdr:from>
    <xdr:to>
      <xdr:col>18</xdr:col>
      <xdr:colOff>583036</xdr:colOff>
      <xdr:row>7</xdr:row>
      <xdr:rowOff>102294</xdr:rowOff>
    </xdr:to>
    <xdr:sp macro="" textlink="">
      <xdr:nvSpPr>
        <xdr:cNvPr id="51" name="TextBox 25">
          <a:extLst>
            <a:ext uri="{FF2B5EF4-FFF2-40B4-BE49-F238E27FC236}">
              <a16:creationId xmlns:a16="http://schemas.microsoft.com/office/drawing/2014/main" id="{CBFBCFAA-1D6C-B242-B54B-E67DB8289856}"/>
            </a:ext>
          </a:extLst>
        </xdr:cNvPr>
        <xdr:cNvSpPr txBox="1"/>
      </xdr:nvSpPr>
      <xdr:spPr>
        <a:xfrm>
          <a:off x="3595245" y="678135"/>
          <a:ext cx="7917729" cy="674315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>
              <a:solidFill>
                <a:schemeClr val="tx1">
                  <a:lumMod val="50000"/>
                  <a:lumOff val="50000"/>
                </a:schemeClr>
              </a:solidFill>
            </a:rPr>
            <a:t>Who Are Our Patients?</a:t>
          </a:r>
        </a:p>
        <a:p>
          <a:r>
            <a:rPr lang="en-US" sz="1200">
              <a:solidFill>
                <a:schemeClr val="tx1">
                  <a:lumMod val="50000"/>
                  <a:lumOff val="50000"/>
                </a:schemeClr>
              </a:solidFill>
            </a:rPr>
            <a:t>Understanding Our Patients By Age Group, Admission Period, and Condtion</a:t>
          </a:r>
          <a:r>
            <a:rPr lang="en-US" sz="1200" baseline="0">
              <a:solidFill>
                <a:schemeClr val="tx1">
                  <a:lumMod val="50000"/>
                  <a:lumOff val="50000"/>
                </a:schemeClr>
              </a:solidFill>
            </a:rPr>
            <a:t> </a:t>
          </a:r>
          <a:r>
            <a:rPr lang="en-US" sz="1200">
              <a:solidFill>
                <a:schemeClr val="tx1">
                  <a:lumMod val="50000"/>
                  <a:lumOff val="50000"/>
                </a:schemeClr>
              </a:solidFill>
            </a:rPr>
            <a:t>to Personalize Engagement</a:t>
          </a:r>
          <a:endParaRPr lang="en-KE" sz="1200">
            <a:solidFill>
              <a:schemeClr val="tx1">
                <a:lumMod val="50000"/>
                <a:lumOff val="50000"/>
              </a:schemeClr>
            </a:solidFill>
          </a:endParaRPr>
        </a:p>
      </xdr:txBody>
    </xdr:sp>
    <xdr:clientData/>
  </xdr:twoCellAnchor>
  <xdr:twoCellAnchor>
    <xdr:from>
      <xdr:col>2</xdr:col>
      <xdr:colOff>98422</xdr:colOff>
      <xdr:row>21</xdr:row>
      <xdr:rowOff>31420</xdr:rowOff>
    </xdr:from>
    <xdr:to>
      <xdr:col>7</xdr:col>
      <xdr:colOff>197929</xdr:colOff>
      <xdr:row>48</xdr:row>
      <xdr:rowOff>10879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6B604628-F6B7-E0E9-BB22-2AFAA411A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2860" y="3781889"/>
          <a:ext cx="3135600" cy="4801490"/>
        </a:xfrm>
        <a:prstGeom prst="rect">
          <a:avLst/>
        </a:prstGeom>
      </xdr:spPr>
    </xdr:pic>
    <xdr:clientData/>
  </xdr:twoCellAnchor>
  <xdr:twoCellAnchor>
    <xdr:from>
      <xdr:col>2</xdr:col>
      <xdr:colOff>550344</xdr:colOff>
      <xdr:row>5</xdr:row>
      <xdr:rowOff>87687</xdr:rowOff>
    </xdr:from>
    <xdr:to>
      <xdr:col>5</xdr:col>
      <xdr:colOff>297656</xdr:colOff>
      <xdr:row>8</xdr:row>
      <xdr:rowOff>107156</xdr:rowOff>
    </xdr:to>
    <xdr:sp macro="" textlink="">
      <xdr:nvSpPr>
        <xdr:cNvPr id="53" name="TextBox 31">
          <a:extLst>
            <a:ext uri="{FF2B5EF4-FFF2-40B4-BE49-F238E27FC236}">
              <a16:creationId xmlns:a16="http://schemas.microsoft.com/office/drawing/2014/main" id="{A78D8306-827E-9BAD-4CFE-FD9C6D08323C}"/>
            </a:ext>
          </a:extLst>
        </xdr:cNvPr>
        <xdr:cNvSpPr txBox="1"/>
      </xdr:nvSpPr>
      <xdr:spPr>
        <a:xfrm>
          <a:off x="1764782" y="980656"/>
          <a:ext cx="1568968" cy="555250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2000">
              <a:solidFill>
                <a:srgbClr val="005B94"/>
              </a:solidFill>
              <a:latin typeface="Bauhaus 93" panose="04030905020B02020C02" pitchFamily="82" charset="0"/>
            </a:rPr>
            <a:t>AYURVEDIC</a:t>
          </a:r>
          <a:endParaRPr lang="en-KE" sz="2000">
            <a:solidFill>
              <a:srgbClr val="005B94"/>
            </a:solidFill>
            <a:latin typeface="Bauhaus 93" panose="04030905020B02020C02" pitchFamily="82" charset="0"/>
          </a:endParaRPr>
        </a:p>
      </xdr:txBody>
    </xdr:sp>
    <xdr:clientData/>
  </xdr:twoCellAnchor>
  <xdr:twoCellAnchor>
    <xdr:from>
      <xdr:col>9</xdr:col>
      <xdr:colOff>362413</xdr:colOff>
      <xdr:row>14</xdr:row>
      <xdr:rowOff>87512</xdr:rowOff>
    </xdr:from>
    <xdr:to>
      <xdr:col>11</xdr:col>
      <xdr:colOff>201073</xdr:colOff>
      <xdr:row>16</xdr:row>
      <xdr:rowOff>65882</xdr:rowOff>
    </xdr:to>
    <xdr:sp macro="" textlink="">
      <xdr:nvSpPr>
        <xdr:cNvPr id="54" name="TextBox 32">
          <a:extLst>
            <a:ext uri="{FF2B5EF4-FFF2-40B4-BE49-F238E27FC236}">
              <a16:creationId xmlns:a16="http://schemas.microsoft.com/office/drawing/2014/main" id="{E3FEECC6-EDBC-7D5F-6CF8-271FE6722ABF}"/>
            </a:ext>
          </a:extLst>
        </xdr:cNvPr>
        <xdr:cNvSpPr txBox="1"/>
      </xdr:nvSpPr>
      <xdr:spPr>
        <a:xfrm>
          <a:off x="5827382" y="2587825"/>
          <a:ext cx="1053097" cy="335557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>
              <a:solidFill>
                <a:srgbClr val="005B94"/>
              </a:solidFill>
              <a:latin typeface="Bahnschrift" panose="020B0502040204020203" pitchFamily="34" charset="0"/>
            </a:rPr>
            <a:t>Patients</a:t>
          </a:r>
          <a:endParaRPr lang="en-KE" sz="1200">
            <a:solidFill>
              <a:srgbClr val="005B94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124865</xdr:colOff>
      <xdr:row>14</xdr:row>
      <xdr:rowOff>87512</xdr:rowOff>
    </xdr:from>
    <xdr:to>
      <xdr:col>15</xdr:col>
      <xdr:colOff>269224</xdr:colOff>
      <xdr:row>16</xdr:row>
      <xdr:rowOff>65882</xdr:rowOff>
    </xdr:to>
    <xdr:sp macro="" textlink="">
      <xdr:nvSpPr>
        <xdr:cNvPr id="55" name="TextBox 35">
          <a:extLst>
            <a:ext uri="{FF2B5EF4-FFF2-40B4-BE49-F238E27FC236}">
              <a16:creationId xmlns:a16="http://schemas.microsoft.com/office/drawing/2014/main" id="{F50CD2D1-14CE-8625-2D9E-C064CC4FD038}"/>
            </a:ext>
          </a:extLst>
        </xdr:cNvPr>
        <xdr:cNvSpPr txBox="1"/>
      </xdr:nvSpPr>
      <xdr:spPr>
        <a:xfrm>
          <a:off x="8018709" y="2587825"/>
          <a:ext cx="1358796" cy="335557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>
              <a:solidFill>
                <a:srgbClr val="005B94"/>
              </a:solidFill>
              <a:latin typeface="Bahnschrift" panose="020B0502040204020203" pitchFamily="34" charset="0"/>
            </a:rPr>
            <a:t>Average Age</a:t>
          </a:r>
          <a:endParaRPr lang="en-KE" sz="1200">
            <a:solidFill>
              <a:srgbClr val="005B94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21</xdr:col>
      <xdr:colOff>264222</xdr:colOff>
      <xdr:row>14</xdr:row>
      <xdr:rowOff>87512</xdr:rowOff>
    </xdr:from>
    <xdr:to>
      <xdr:col>24</xdr:col>
      <xdr:colOff>41997</xdr:colOff>
      <xdr:row>16</xdr:row>
      <xdr:rowOff>65882</xdr:rowOff>
    </xdr:to>
    <xdr:sp macro="" textlink="">
      <xdr:nvSpPr>
        <xdr:cNvPr id="56" name="TextBox 36">
          <a:extLst>
            <a:ext uri="{FF2B5EF4-FFF2-40B4-BE49-F238E27FC236}">
              <a16:creationId xmlns:a16="http://schemas.microsoft.com/office/drawing/2014/main" id="{3E752325-B8E4-BBB5-42F9-CD0B568254F5}"/>
            </a:ext>
          </a:extLst>
        </xdr:cNvPr>
        <xdr:cNvSpPr txBox="1"/>
      </xdr:nvSpPr>
      <xdr:spPr>
        <a:xfrm>
          <a:off x="13015816" y="2587825"/>
          <a:ext cx="1599431" cy="335557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>
              <a:solidFill>
                <a:srgbClr val="005B94"/>
              </a:solidFill>
              <a:latin typeface="Bahnschrift" panose="020B0502040204020203" pitchFamily="34" charset="0"/>
            </a:rPr>
            <a:t>Average Rating</a:t>
          </a:r>
          <a:endParaRPr lang="en-KE" sz="1200">
            <a:solidFill>
              <a:srgbClr val="005B94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17</xdr:col>
      <xdr:colOff>196069</xdr:colOff>
      <xdr:row>14</xdr:row>
      <xdr:rowOff>87512</xdr:rowOff>
    </xdr:from>
    <xdr:to>
      <xdr:col>19</xdr:col>
      <xdr:colOff>335541</xdr:colOff>
      <xdr:row>16</xdr:row>
      <xdr:rowOff>65882</xdr:rowOff>
    </xdr:to>
    <xdr:sp macro="" textlink="">
      <xdr:nvSpPr>
        <xdr:cNvPr id="57" name="TextBox 37">
          <a:extLst>
            <a:ext uri="{FF2B5EF4-FFF2-40B4-BE49-F238E27FC236}">
              <a16:creationId xmlns:a16="http://schemas.microsoft.com/office/drawing/2014/main" id="{A9AF1CED-E4D6-7F40-2C31-AFC2FFD0DED9}"/>
            </a:ext>
          </a:extLst>
        </xdr:cNvPr>
        <xdr:cNvSpPr txBox="1"/>
      </xdr:nvSpPr>
      <xdr:spPr>
        <a:xfrm>
          <a:off x="10518788" y="2587825"/>
          <a:ext cx="1353909" cy="335557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>
              <a:solidFill>
                <a:srgbClr val="005B94"/>
              </a:solidFill>
              <a:latin typeface="Bahnschrift" panose="020B0502040204020203" pitchFamily="34" charset="0"/>
            </a:rPr>
            <a:t>Average Stay</a:t>
          </a:r>
          <a:endParaRPr lang="en-KE" sz="1200">
            <a:solidFill>
              <a:srgbClr val="005B94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8</xdr:col>
      <xdr:colOff>195828</xdr:colOff>
      <xdr:row>17</xdr:row>
      <xdr:rowOff>128079</xdr:rowOff>
    </xdr:from>
    <xdr:to>
      <xdr:col>11</xdr:col>
      <xdr:colOff>257429</xdr:colOff>
      <xdr:row>19</xdr:row>
      <xdr:rowOff>74994</xdr:rowOff>
    </xdr:to>
    <xdr:sp macro="" textlink="">
      <xdr:nvSpPr>
        <xdr:cNvPr id="58" name="TextBox 38">
          <a:extLst>
            <a:ext uri="{FF2B5EF4-FFF2-40B4-BE49-F238E27FC236}">
              <a16:creationId xmlns:a16="http://schemas.microsoft.com/office/drawing/2014/main" id="{DD45EBC4-F5E4-4103-786E-8E1E72E6D30B}"/>
            </a:ext>
          </a:extLst>
        </xdr:cNvPr>
        <xdr:cNvSpPr txBox="1"/>
      </xdr:nvSpPr>
      <xdr:spPr>
        <a:xfrm>
          <a:off x="5053578" y="3164173"/>
          <a:ext cx="1883257" cy="304102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10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t>Patients by Age Group</a:t>
          </a:r>
          <a:endParaRPr lang="en-KE" sz="1100">
            <a:solidFill>
              <a:schemeClr val="tx1">
                <a:lumMod val="65000"/>
                <a:lumOff val="35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14</xdr:col>
      <xdr:colOff>35046</xdr:colOff>
      <xdr:row>29</xdr:row>
      <xdr:rowOff>139985</xdr:rowOff>
    </xdr:from>
    <xdr:to>
      <xdr:col>19</xdr:col>
      <xdr:colOff>0</xdr:colOff>
      <xdr:row>31</xdr:row>
      <xdr:rowOff>86900</xdr:rowOff>
    </xdr:to>
    <xdr:sp macro="" textlink="">
      <xdr:nvSpPr>
        <xdr:cNvPr id="59" name="TextBox 39">
          <a:extLst>
            <a:ext uri="{FF2B5EF4-FFF2-40B4-BE49-F238E27FC236}">
              <a16:creationId xmlns:a16="http://schemas.microsoft.com/office/drawing/2014/main" id="{ABC1FFAB-7E15-9852-9D76-8C40BDDD1DD6}"/>
            </a:ext>
          </a:extLst>
        </xdr:cNvPr>
        <xdr:cNvSpPr txBox="1"/>
      </xdr:nvSpPr>
      <xdr:spPr>
        <a:xfrm>
          <a:off x="8536109" y="5319204"/>
          <a:ext cx="3001047" cy="304102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100" b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t>Patients Segmenatation by Admission Days</a:t>
          </a:r>
          <a:endParaRPr lang="en-KE" sz="1100" b="0">
            <a:solidFill>
              <a:schemeClr val="tx1">
                <a:lumMod val="65000"/>
                <a:lumOff val="35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19</xdr:col>
      <xdr:colOff>323284</xdr:colOff>
      <xdr:row>17</xdr:row>
      <xdr:rowOff>128079</xdr:rowOff>
    </xdr:from>
    <xdr:to>
      <xdr:col>22</xdr:col>
      <xdr:colOff>381709</xdr:colOff>
      <xdr:row>19</xdr:row>
      <xdr:rowOff>74994</xdr:rowOff>
    </xdr:to>
    <xdr:sp macro="" textlink="">
      <xdr:nvSpPr>
        <xdr:cNvPr id="60" name="TextBox 40">
          <a:extLst>
            <a:ext uri="{FF2B5EF4-FFF2-40B4-BE49-F238E27FC236}">
              <a16:creationId xmlns:a16="http://schemas.microsoft.com/office/drawing/2014/main" id="{8B0F15CB-D49B-25A4-8664-85F81A38E528}"/>
            </a:ext>
          </a:extLst>
        </xdr:cNvPr>
        <xdr:cNvSpPr txBox="1"/>
      </xdr:nvSpPr>
      <xdr:spPr>
        <a:xfrm>
          <a:off x="11860440" y="3164173"/>
          <a:ext cx="1880082" cy="304102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10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t>Patients Rating</a:t>
          </a:r>
          <a:endParaRPr lang="en-KE" sz="1100">
            <a:solidFill>
              <a:schemeClr val="tx1">
                <a:lumMod val="65000"/>
                <a:lumOff val="35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13</xdr:col>
      <xdr:colOff>432834</xdr:colOff>
      <xdr:row>17</xdr:row>
      <xdr:rowOff>143486</xdr:rowOff>
    </xdr:from>
    <xdr:to>
      <xdr:col>18</xdr:col>
      <xdr:colOff>157290</xdr:colOff>
      <xdr:row>19</xdr:row>
      <xdr:rowOff>79549</xdr:rowOff>
    </xdr:to>
    <xdr:sp macro="" textlink="">
      <xdr:nvSpPr>
        <xdr:cNvPr id="61" name="TextBox 41">
          <a:extLst>
            <a:ext uri="{FF2B5EF4-FFF2-40B4-BE49-F238E27FC236}">
              <a16:creationId xmlns:a16="http://schemas.microsoft.com/office/drawing/2014/main" id="{50820247-05DF-3EF7-E2A8-40BD0E60B3AA}"/>
            </a:ext>
          </a:extLst>
        </xdr:cNvPr>
        <xdr:cNvSpPr txBox="1"/>
      </xdr:nvSpPr>
      <xdr:spPr>
        <a:xfrm>
          <a:off x="8326678" y="3179580"/>
          <a:ext cx="2760550" cy="293250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10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t>Top</a:t>
          </a:r>
          <a:r>
            <a:rPr lang="en-US" sz="110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t> 5 Patients'</a:t>
          </a:r>
          <a:r>
            <a:rPr lang="en-US" sz="110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t>  Condition</a:t>
          </a:r>
          <a:endParaRPr lang="en-KE" sz="1100">
            <a:solidFill>
              <a:schemeClr val="tx1">
                <a:lumMod val="65000"/>
                <a:lumOff val="35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8</xdr:col>
      <xdr:colOff>136297</xdr:colOff>
      <xdr:row>29</xdr:row>
      <xdr:rowOff>176030</xdr:rowOff>
    </xdr:from>
    <xdr:to>
      <xdr:col>12</xdr:col>
      <xdr:colOff>59489</xdr:colOff>
      <xdr:row>31</xdr:row>
      <xdr:rowOff>115268</xdr:rowOff>
    </xdr:to>
    <xdr:sp macro="" textlink="">
      <xdr:nvSpPr>
        <xdr:cNvPr id="62" name="TextBox 42">
          <a:extLst>
            <a:ext uri="{FF2B5EF4-FFF2-40B4-BE49-F238E27FC236}">
              <a16:creationId xmlns:a16="http://schemas.microsoft.com/office/drawing/2014/main" id="{C389FFC5-353A-6F81-5174-914722D66686}"/>
            </a:ext>
          </a:extLst>
        </xdr:cNvPr>
        <xdr:cNvSpPr txBox="1"/>
      </xdr:nvSpPr>
      <xdr:spPr>
        <a:xfrm>
          <a:off x="4994047" y="5355249"/>
          <a:ext cx="2352067" cy="296425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>
            <a:defRPr lang="en-KE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10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t>Patient Distribution by Outcome</a:t>
          </a:r>
          <a:endParaRPr lang="en-KE" sz="1100">
            <a:solidFill>
              <a:schemeClr val="tx1">
                <a:lumMod val="65000"/>
                <a:lumOff val="35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18</xdr:col>
      <xdr:colOff>553234</xdr:colOff>
      <xdr:row>3</xdr:row>
      <xdr:rowOff>47625</xdr:rowOff>
    </xdr:from>
    <xdr:to>
      <xdr:col>21</xdr:col>
      <xdr:colOff>391919</xdr:colOff>
      <xdr:row>12</xdr:row>
      <xdr:rowOff>139888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AB98393B-E112-6F18-DEC8-665D9948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83172" y="583406"/>
          <a:ext cx="1660341" cy="1699607"/>
        </a:xfrm>
        <a:prstGeom prst="rect">
          <a:avLst/>
        </a:prstGeom>
      </xdr:spPr>
    </xdr:pic>
    <xdr:clientData/>
  </xdr:twoCellAnchor>
  <xdr:twoCellAnchor>
    <xdr:from>
      <xdr:col>12</xdr:col>
      <xdr:colOff>324888</xdr:colOff>
      <xdr:row>12</xdr:row>
      <xdr:rowOff>166190</xdr:rowOff>
    </xdr:from>
    <xdr:to>
      <xdr:col>13</xdr:col>
      <xdr:colOff>105264</xdr:colOff>
      <xdr:row>14</xdr:row>
      <xdr:rowOff>172915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313A63BD-6F30-4E52-9E71-BC6BC331BF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alphaModFix amt="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11513" y="2309315"/>
          <a:ext cx="387595" cy="363913"/>
        </a:xfrm>
        <a:prstGeom prst="rect">
          <a:avLst/>
        </a:prstGeom>
      </xdr:spPr>
    </xdr:pic>
    <xdr:clientData/>
  </xdr:twoCellAnchor>
  <xdr:twoCellAnchor>
    <xdr:from>
      <xdr:col>20</xdr:col>
      <xdr:colOff>285226</xdr:colOff>
      <xdr:row>12</xdr:row>
      <xdr:rowOff>138053</xdr:rowOff>
    </xdr:from>
    <xdr:to>
      <xdr:col>21</xdr:col>
      <xdr:colOff>58269</xdr:colOff>
      <xdr:row>14</xdr:row>
      <xdr:rowOff>172915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9132CC2-80E6-2F1C-EE68-9D3E57B78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alphaModFix amt="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29601" y="2281178"/>
          <a:ext cx="380262" cy="392050"/>
        </a:xfrm>
        <a:prstGeom prst="rect">
          <a:avLst/>
        </a:prstGeom>
      </xdr:spPr>
    </xdr:pic>
    <xdr:clientData/>
  </xdr:twoCellAnchor>
  <xdr:twoCellAnchor>
    <xdr:from>
      <xdr:col>8</xdr:col>
      <xdr:colOff>241782</xdr:colOff>
      <xdr:row>12</xdr:row>
      <xdr:rowOff>138053</xdr:rowOff>
    </xdr:from>
    <xdr:to>
      <xdr:col>9</xdr:col>
      <xdr:colOff>22158</xdr:colOff>
      <xdr:row>14</xdr:row>
      <xdr:rowOff>172915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0B5FB2D8-36A4-3736-29CF-1299AA308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alphaModFix amt="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99532" y="2281178"/>
          <a:ext cx="387595" cy="392050"/>
        </a:xfrm>
        <a:prstGeom prst="rect">
          <a:avLst/>
        </a:prstGeom>
      </xdr:spPr>
    </xdr:pic>
    <xdr:clientData/>
  </xdr:twoCellAnchor>
  <xdr:twoCellAnchor>
    <xdr:from>
      <xdr:col>16</xdr:col>
      <xdr:colOff>282109</xdr:colOff>
      <xdr:row>12</xdr:row>
      <xdr:rowOff>138053</xdr:rowOff>
    </xdr:from>
    <xdr:to>
      <xdr:col>17</xdr:col>
      <xdr:colOff>56985</xdr:colOff>
      <xdr:row>14</xdr:row>
      <xdr:rowOff>172915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522A098-AA06-EB37-7CE1-3119A4B56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alphaModFix amt="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7609" y="2281178"/>
          <a:ext cx="382095" cy="392050"/>
        </a:xfrm>
        <a:prstGeom prst="rect">
          <a:avLst/>
        </a:prstGeom>
      </xdr:spPr>
    </xdr:pic>
    <xdr:clientData/>
  </xdr:twoCellAnchor>
  <xdr:twoCellAnchor>
    <xdr:from>
      <xdr:col>8</xdr:col>
      <xdr:colOff>18257</xdr:colOff>
      <xdr:row>18</xdr:row>
      <xdr:rowOff>166686</xdr:rowOff>
    </xdr:from>
    <xdr:to>
      <xdr:col>13</xdr:col>
      <xdr:colOff>250031</xdr:colOff>
      <xdr:row>29</xdr:row>
      <xdr:rowOff>115886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B16C947B-A3EC-42F2-9F48-264ABE88C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407197</xdr:colOff>
      <xdr:row>19</xdr:row>
      <xdr:rowOff>56357</xdr:rowOff>
    </xdr:from>
    <xdr:to>
      <xdr:col>18</xdr:col>
      <xdr:colOff>535781</xdr:colOff>
      <xdr:row>29</xdr:row>
      <xdr:rowOff>164305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E9DCC6F6-6DBD-4796-AE8B-12C351FE83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107156</xdr:colOff>
      <xdr:row>12</xdr:row>
      <xdr:rowOff>2382</xdr:rowOff>
    </xdr:from>
    <xdr:to>
      <xdr:col>11</xdr:col>
      <xdr:colOff>163513</xdr:colOff>
      <xdr:row>14</xdr:row>
      <xdr:rowOff>103981</xdr:rowOff>
    </xdr:to>
    <xdr:sp macro="" textlink="'Pivot Tables'!$B$4">
      <xdr:nvSpPr>
        <xdr:cNvPr id="72" name="TextBox 71">
          <a:extLst>
            <a:ext uri="{FF2B5EF4-FFF2-40B4-BE49-F238E27FC236}">
              <a16:creationId xmlns:a16="http://schemas.microsoft.com/office/drawing/2014/main" id="{F09B21D4-B8E9-0E54-491F-2230C3764D62}"/>
            </a:ext>
          </a:extLst>
        </xdr:cNvPr>
        <xdr:cNvSpPr txBox="1"/>
      </xdr:nvSpPr>
      <xdr:spPr>
        <a:xfrm>
          <a:off x="5572125" y="2145507"/>
          <a:ext cx="1270794" cy="4587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0492BA6A-F1D6-439D-A67D-6DA53146E154}" type="TxLink">
            <a:rPr lang="en-US" sz="2400" b="0" i="0" u="none" strike="noStrike">
              <a:solidFill>
                <a:srgbClr val="005B94">
                  <a:alpha val="70000"/>
                </a:srgbClr>
              </a:solidFill>
              <a:latin typeface="Segoe UI Semibold" panose="020B0702040204020203" pitchFamily="34" charset="0"/>
              <a:ea typeface="Calibri"/>
              <a:cs typeface="Segoe UI Semibold" panose="020B0702040204020203" pitchFamily="34" charset="0"/>
            </a:rPr>
            <a:pPr algn="ctr"/>
            <a:t>984</a:t>
          </a:fld>
          <a:endParaRPr lang="en-KE" sz="2400">
            <a:solidFill>
              <a:srgbClr val="005B94">
                <a:alpha val="70000"/>
              </a:srgb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13</xdr:col>
      <xdr:colOff>0</xdr:colOff>
      <xdr:row>12</xdr:row>
      <xdr:rowOff>8732</xdr:rowOff>
    </xdr:from>
    <xdr:to>
      <xdr:col>15</xdr:col>
      <xdr:colOff>56357</xdr:colOff>
      <xdr:row>14</xdr:row>
      <xdr:rowOff>103981</xdr:rowOff>
    </xdr:to>
    <xdr:sp macro="" textlink="'Pivot Tables'!C4">
      <xdr:nvSpPr>
        <xdr:cNvPr id="73" name="TextBox 72">
          <a:extLst>
            <a:ext uri="{FF2B5EF4-FFF2-40B4-BE49-F238E27FC236}">
              <a16:creationId xmlns:a16="http://schemas.microsoft.com/office/drawing/2014/main" id="{142C3F83-E550-4E13-8EB1-DC75BE983669}"/>
            </a:ext>
          </a:extLst>
        </xdr:cNvPr>
        <xdr:cNvSpPr txBox="1"/>
      </xdr:nvSpPr>
      <xdr:spPr>
        <a:xfrm>
          <a:off x="7893844" y="2151857"/>
          <a:ext cx="1270794" cy="4524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FD7FE262-7E76-4447-9006-67290C5666A6}" type="TxLink">
            <a:rPr lang="en-US" sz="2400" b="0" i="0" u="none" strike="noStrike">
              <a:solidFill>
                <a:srgbClr val="005B94">
                  <a:alpha val="70000"/>
                </a:srgbClr>
              </a:solidFill>
              <a:latin typeface="Segoe UI Semibold" panose="020B0702040204020203" pitchFamily="34" charset="0"/>
              <a:ea typeface="Calibri"/>
              <a:cs typeface="Segoe UI Semibold" panose="020B0702040204020203" pitchFamily="34" charset="0"/>
            </a:rPr>
            <a:pPr marL="0" indent="0" algn="ctr"/>
            <a:t>54</a:t>
          </a:fld>
          <a:endParaRPr lang="en-KE" sz="2400" b="0" i="0" u="none" strike="noStrike">
            <a:solidFill>
              <a:srgbClr val="005B94">
                <a:alpha val="70000"/>
              </a:srgbClr>
            </a:solidFill>
            <a:latin typeface="Segoe UI Semibold" panose="020B0702040204020203" pitchFamily="34" charset="0"/>
            <a:ea typeface="Calibri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17</xdr:col>
      <xdr:colOff>74613</xdr:colOff>
      <xdr:row>12</xdr:row>
      <xdr:rowOff>8732</xdr:rowOff>
    </xdr:from>
    <xdr:to>
      <xdr:col>19</xdr:col>
      <xdr:colOff>130970</xdr:colOff>
      <xdr:row>14</xdr:row>
      <xdr:rowOff>103981</xdr:rowOff>
    </xdr:to>
    <xdr:sp macro="" textlink="'Pivot Tables'!D4">
      <xdr:nvSpPr>
        <xdr:cNvPr id="74" name="TextBox 73">
          <a:extLst>
            <a:ext uri="{FF2B5EF4-FFF2-40B4-BE49-F238E27FC236}">
              <a16:creationId xmlns:a16="http://schemas.microsoft.com/office/drawing/2014/main" id="{5B061B3D-08EA-46C6-99D0-05A0A50650F7}"/>
            </a:ext>
          </a:extLst>
        </xdr:cNvPr>
        <xdr:cNvSpPr txBox="1"/>
      </xdr:nvSpPr>
      <xdr:spPr>
        <a:xfrm>
          <a:off x="10397332" y="2151857"/>
          <a:ext cx="1270794" cy="4524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9594ABF1-2E20-4689-94D7-5FB7FA118CC3}" type="TxLink">
            <a:rPr lang="en-US" sz="2400" b="0" i="0" u="none" strike="noStrike">
              <a:solidFill>
                <a:srgbClr val="005B94">
                  <a:alpha val="70000"/>
                </a:srgbClr>
              </a:solidFill>
              <a:latin typeface="Segoe UI Semibold" panose="020B0702040204020203" pitchFamily="34" charset="0"/>
              <a:ea typeface="Calibri"/>
              <a:cs typeface="Segoe UI Semibold" panose="020B0702040204020203" pitchFamily="34" charset="0"/>
            </a:rPr>
            <a:pPr marL="0" indent="0" algn="ctr"/>
            <a:t>38</a:t>
          </a:fld>
          <a:endParaRPr lang="en-KE" sz="2400" b="0" i="0" u="none" strike="noStrike">
            <a:solidFill>
              <a:srgbClr val="005B94">
                <a:alpha val="70000"/>
              </a:srgbClr>
            </a:solidFill>
            <a:latin typeface="Segoe UI Semibold" panose="020B0702040204020203" pitchFamily="34" charset="0"/>
            <a:ea typeface="Calibri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21</xdr:col>
      <xdr:colOff>265113</xdr:colOff>
      <xdr:row>12</xdr:row>
      <xdr:rowOff>11907</xdr:rowOff>
    </xdr:from>
    <xdr:to>
      <xdr:col>23</xdr:col>
      <xdr:colOff>321470</xdr:colOff>
      <xdr:row>14</xdr:row>
      <xdr:rowOff>103981</xdr:rowOff>
    </xdr:to>
    <xdr:sp macro="" textlink="'Pivot Tables'!E4">
      <xdr:nvSpPr>
        <xdr:cNvPr id="75" name="TextBox 74">
          <a:extLst>
            <a:ext uri="{FF2B5EF4-FFF2-40B4-BE49-F238E27FC236}">
              <a16:creationId xmlns:a16="http://schemas.microsoft.com/office/drawing/2014/main" id="{E5B30E86-41B6-D0B6-839A-55B308B4B97F}"/>
            </a:ext>
          </a:extLst>
        </xdr:cNvPr>
        <xdr:cNvSpPr txBox="1"/>
      </xdr:nvSpPr>
      <xdr:spPr>
        <a:xfrm>
          <a:off x="13016707" y="2155032"/>
          <a:ext cx="1270794" cy="4492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D57EF8E3-1CDE-4F87-8CE7-5DA35F4B4284}" type="TxLink">
            <a:rPr lang="en-US" sz="2400" b="0" i="0" u="none" strike="noStrike">
              <a:solidFill>
                <a:srgbClr val="005B94">
                  <a:alpha val="70000"/>
                </a:srgbClr>
              </a:solidFill>
              <a:latin typeface="Segoe UI Semibold" panose="020B0702040204020203" pitchFamily="34" charset="0"/>
              <a:ea typeface="Calibri"/>
              <a:cs typeface="Segoe UI Semibold" panose="020B0702040204020203" pitchFamily="34" charset="0"/>
            </a:rPr>
            <a:pPr marL="0" indent="0" algn="ctr"/>
            <a:t>4</a:t>
          </a:fld>
          <a:endParaRPr lang="en-KE" sz="2400" b="0" i="0" u="none" strike="noStrike">
            <a:solidFill>
              <a:srgbClr val="005B94">
                <a:alpha val="70000"/>
              </a:srgbClr>
            </a:solidFill>
            <a:latin typeface="Segoe UI Semibold" panose="020B0702040204020203" pitchFamily="34" charset="0"/>
            <a:ea typeface="Calibri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8</xdr:col>
      <xdr:colOff>130970</xdr:colOff>
      <xdr:row>32</xdr:row>
      <xdr:rowOff>23812</xdr:rowOff>
    </xdr:from>
    <xdr:to>
      <xdr:col>13</xdr:col>
      <xdr:colOff>178594</xdr:colOff>
      <xdr:row>44</xdr:row>
      <xdr:rowOff>160337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D1697549-C991-4F8A-8EA7-9CFDB2D3D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357188</xdr:colOff>
      <xdr:row>19</xdr:row>
      <xdr:rowOff>107156</xdr:rowOff>
    </xdr:from>
    <xdr:to>
      <xdr:col>24</xdr:col>
      <xdr:colOff>330200</xdr:colOff>
      <xdr:row>29</xdr:row>
      <xdr:rowOff>69056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7380C6D1-5138-406B-B2C5-EC51E3DF1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26986</xdr:colOff>
      <xdr:row>31</xdr:row>
      <xdr:rowOff>65087</xdr:rowOff>
    </xdr:from>
    <xdr:to>
      <xdr:col>22</xdr:col>
      <xdr:colOff>428623</xdr:colOff>
      <xdr:row>44</xdr:row>
      <xdr:rowOff>143668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0CA5C717-F003-43A3-95EE-D8A526AF2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440531</xdr:colOff>
      <xdr:row>8</xdr:row>
      <xdr:rowOff>178593</xdr:rowOff>
    </xdr:from>
    <xdr:to>
      <xdr:col>5</xdr:col>
      <xdr:colOff>142875</xdr:colOff>
      <xdr:row>10</xdr:row>
      <xdr:rowOff>163512</xdr:rowOff>
    </xdr:to>
    <xdr:sp macro="" textlink="">
      <xdr:nvSpPr>
        <xdr:cNvPr id="89" name="Rectangle: Rounded Corners 88">
          <a:extLst>
            <a:ext uri="{FF2B5EF4-FFF2-40B4-BE49-F238E27FC236}">
              <a16:creationId xmlns:a16="http://schemas.microsoft.com/office/drawing/2014/main" id="{E3784CCF-FE70-2C9C-854D-5BA4F9C5E684}"/>
            </a:ext>
          </a:extLst>
        </xdr:cNvPr>
        <xdr:cNvSpPr/>
      </xdr:nvSpPr>
      <xdr:spPr>
        <a:xfrm>
          <a:off x="1654969" y="1607343"/>
          <a:ext cx="1524000" cy="342107"/>
        </a:xfrm>
        <a:prstGeom prst="roundRect">
          <a:avLst/>
        </a:prstGeom>
        <a:solidFill>
          <a:srgbClr val="005B9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35719</xdr:colOff>
      <xdr:row>9</xdr:row>
      <xdr:rowOff>44450</xdr:rowOff>
    </xdr:from>
    <xdr:to>
      <xdr:col>4</xdr:col>
      <xdr:colOff>571500</xdr:colOff>
      <xdr:row>10</xdr:row>
      <xdr:rowOff>119062</xdr:rowOff>
    </xdr:to>
    <xdr:sp macro="" textlink="">
      <xdr:nvSpPr>
        <xdr:cNvPr id="90" name="TextBox 8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A7F7978B-62D4-00D6-25D4-206EE7E57AB2}"/>
            </a:ext>
          </a:extLst>
        </xdr:cNvPr>
        <xdr:cNvSpPr txBox="1"/>
      </xdr:nvSpPr>
      <xdr:spPr>
        <a:xfrm>
          <a:off x="1857375" y="1651794"/>
          <a:ext cx="1143000" cy="2532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bg1"/>
              </a:solidFill>
            </a:rPr>
            <a:t>DASHBOARD</a:t>
          </a:r>
          <a:endParaRPr lang="en-KE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71437</xdr:colOff>
      <xdr:row>12</xdr:row>
      <xdr:rowOff>134143</xdr:rowOff>
    </xdr:from>
    <xdr:to>
      <xdr:col>4</xdr:col>
      <xdr:colOff>607218</xdr:colOff>
      <xdr:row>14</xdr:row>
      <xdr:rowOff>134142</xdr:rowOff>
    </xdr:to>
    <xdr:sp macro="" textlink="">
      <xdr:nvSpPr>
        <xdr:cNvPr id="92" name="TextBox 91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32A5F9DD-A972-06DC-A80C-D8EB2E1263D3}"/>
            </a:ext>
          </a:extLst>
        </xdr:cNvPr>
        <xdr:cNvSpPr txBox="1"/>
      </xdr:nvSpPr>
      <xdr:spPr>
        <a:xfrm>
          <a:off x="1893093" y="2277268"/>
          <a:ext cx="1143000" cy="3571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tx1">
                  <a:lumMod val="50000"/>
                  <a:lumOff val="50000"/>
                </a:schemeClr>
              </a:solidFill>
            </a:rPr>
            <a:t>ANALYSIS</a:t>
          </a:r>
          <a:endParaRPr lang="en-KE" sz="1200" b="1">
            <a:solidFill>
              <a:schemeClr val="tx1">
                <a:lumMod val="50000"/>
                <a:lumOff val="50000"/>
              </a:schemeClr>
            </a:solidFill>
          </a:endParaRPr>
        </a:p>
      </xdr:txBody>
    </xdr:sp>
    <xdr:clientData/>
  </xdr:twoCellAnchor>
  <xdr:twoCellAnchor>
    <xdr:from>
      <xdr:col>3</xdr:col>
      <xdr:colOff>80168</xdr:colOff>
      <xdr:row>15</xdr:row>
      <xdr:rowOff>115888</xdr:rowOff>
    </xdr:from>
    <xdr:to>
      <xdr:col>5</xdr:col>
      <xdr:colOff>11905</xdr:colOff>
      <xdr:row>17</xdr:row>
      <xdr:rowOff>15081</xdr:rowOff>
    </xdr:to>
    <xdr:sp macro="" textlink="">
      <xdr:nvSpPr>
        <xdr:cNvPr id="93" name="TextBox 9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B32D557-791A-9663-1B12-C932DF0EC35C}"/>
            </a:ext>
          </a:extLst>
        </xdr:cNvPr>
        <xdr:cNvSpPr txBox="1"/>
      </xdr:nvSpPr>
      <xdr:spPr>
        <a:xfrm>
          <a:off x="1901824" y="2794794"/>
          <a:ext cx="1146175" cy="25638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tx1">
                  <a:lumMod val="50000"/>
                  <a:lumOff val="50000"/>
                </a:schemeClr>
              </a:solidFill>
            </a:rPr>
            <a:t>DATASET</a:t>
          </a:r>
          <a:endParaRPr lang="en-KE" sz="1200" b="1">
            <a:solidFill>
              <a:schemeClr val="tx1">
                <a:lumMod val="50000"/>
                <a:lumOff val="50000"/>
              </a:schemeClr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Igana" refreshedDate="46182.893412731479" createdVersion="8" refreshedVersion="8" minRefreshableVersion="3" recordCount="984" xr:uid="{EEB283C7-05FE-4765-A2D3-C2DF12ECBDE2}">
  <cacheSource type="worksheet">
    <worksheetSource name="hospital_data_analysis"/>
  </cacheSource>
  <cacheFields count="13">
    <cacheField name="Patient_ID" numFmtId="0">
      <sharedItems containsSemiMixedTypes="0" containsString="0" containsNumber="1" containsInteger="1" minValue="1" maxValue="1000"/>
    </cacheField>
    <cacheField name="Age" numFmtId="0">
      <sharedItems containsSemiMixedTypes="0" containsString="0" containsNumber="1" containsInteger="1" minValue="25" maxValue="78" count="22">
        <n v="45"/>
        <n v="60"/>
        <n v="32"/>
        <n v="75"/>
        <n v="50"/>
        <n v="68"/>
        <n v="55"/>
        <n v="40"/>
        <n v="70"/>
        <n v="25"/>
        <n v="48"/>
        <n v="65"/>
        <n v="30"/>
        <n v="52"/>
        <n v="58"/>
        <n v="62"/>
        <n v="35"/>
        <n v="78"/>
        <n v="53"/>
        <n v="72"/>
        <n v="28"/>
        <n v="67"/>
      </sharedItems>
    </cacheField>
    <cacheField name="Gender" numFmtId="0">
      <sharedItems count="2">
        <s v="Female"/>
        <s v="Male"/>
      </sharedItems>
    </cacheField>
    <cacheField name="Condition" numFmtId="0">
      <sharedItems count="15">
        <s v="Heart Disease"/>
        <s v="Diabetes"/>
        <s v="Fractured Arm"/>
        <s v="Stroke"/>
        <s v="Cancer"/>
        <s v="Hypertension"/>
        <s v="Appendicitis"/>
        <s v="Fractured Leg"/>
        <s v="Heart Attack"/>
        <s v="Allergic Reaction"/>
        <s v="Respiratory Infection"/>
        <s v="Prostate Cancer"/>
        <s v="Childbirth"/>
        <s v="Kidney Stones"/>
        <s v="Osteoarthritis"/>
      </sharedItems>
    </cacheField>
    <cacheField name="Procedure" numFmtId="0">
      <sharedItems/>
    </cacheField>
    <cacheField name="Cost" numFmtId="0">
      <sharedItems containsSemiMixedTypes="0" containsString="0" containsNumber="1" containsInteger="1" minValue="100" maxValue="25000"/>
    </cacheField>
    <cacheField name="Length_of_Stay" numFmtId="0">
      <sharedItems containsSemiMixedTypes="0" containsString="0" containsNumber="1" containsInteger="1" minValue="1" maxValue="76"/>
    </cacheField>
    <cacheField name="Readmission" numFmtId="0">
      <sharedItems/>
    </cacheField>
    <cacheField name="Outcome" numFmtId="0">
      <sharedItems count="2">
        <s v="Recovered"/>
        <s v="Stable"/>
      </sharedItems>
    </cacheField>
    <cacheField name="Satisfaction" numFmtId="0">
      <sharedItems containsSemiMixedTypes="0" containsString="0" containsNumber="1" containsInteger="1" minValue="2" maxValue="5"/>
    </cacheField>
    <cacheField name="Age Group" numFmtId="0">
      <sharedItems count="3">
        <s v="Adult"/>
        <s v="Youth"/>
        <s v="Old"/>
      </sharedItems>
    </cacheField>
    <cacheField name="Admission Days" numFmtId="0">
      <sharedItems count="5">
        <s v="Short"/>
        <s v="Ultra-Short"/>
        <s v="Medium"/>
        <s v="Long"/>
        <s v="Chronic"/>
      </sharedItems>
    </cacheField>
    <cacheField name="Customer Rating" numFmtId="0">
      <sharedItems count="3">
        <s v="Excelent"/>
        <s v="Good"/>
        <s v="Po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4">
  <r>
    <n v="1"/>
    <x v="0"/>
    <x v="0"/>
    <x v="0"/>
    <s v="Angioplasty"/>
    <n v="15000"/>
    <n v="5"/>
    <s v="No"/>
    <x v="0"/>
    <n v="4"/>
    <x v="0"/>
    <x v="0"/>
    <x v="0"/>
  </r>
  <r>
    <n v="2"/>
    <x v="1"/>
    <x v="1"/>
    <x v="1"/>
    <s v="Insulin Therapy"/>
    <n v="2000"/>
    <n v="3"/>
    <s v="Yes"/>
    <x v="1"/>
    <n v="3"/>
    <x v="0"/>
    <x v="0"/>
    <x v="1"/>
  </r>
  <r>
    <n v="3"/>
    <x v="2"/>
    <x v="0"/>
    <x v="2"/>
    <s v="X-Ray and Splint"/>
    <n v="500"/>
    <n v="1"/>
    <s v="No"/>
    <x v="0"/>
    <n v="5"/>
    <x v="1"/>
    <x v="1"/>
    <x v="0"/>
  </r>
  <r>
    <n v="4"/>
    <x v="3"/>
    <x v="1"/>
    <x v="3"/>
    <s v="CT Scan and Medication"/>
    <n v="10000"/>
    <n v="7"/>
    <s v="Yes"/>
    <x v="1"/>
    <n v="2"/>
    <x v="2"/>
    <x v="2"/>
    <x v="2"/>
  </r>
  <r>
    <n v="5"/>
    <x v="4"/>
    <x v="0"/>
    <x v="4"/>
    <s v="Surgery and Chemotherapy"/>
    <n v="25000"/>
    <n v="10"/>
    <s v="No"/>
    <x v="0"/>
    <n v="4"/>
    <x v="0"/>
    <x v="2"/>
    <x v="0"/>
  </r>
  <r>
    <n v="6"/>
    <x v="5"/>
    <x v="1"/>
    <x v="5"/>
    <s v="Medication and Counseling"/>
    <n v="1000"/>
    <n v="2"/>
    <s v="No"/>
    <x v="1"/>
    <n v="4"/>
    <x v="2"/>
    <x v="1"/>
    <x v="0"/>
  </r>
  <r>
    <n v="7"/>
    <x v="6"/>
    <x v="0"/>
    <x v="6"/>
    <s v="Appendectomy"/>
    <n v="8000"/>
    <n v="4"/>
    <s v="No"/>
    <x v="0"/>
    <n v="3"/>
    <x v="0"/>
    <x v="0"/>
    <x v="1"/>
  </r>
  <r>
    <n v="8"/>
    <x v="7"/>
    <x v="1"/>
    <x v="7"/>
    <s v="Cast and Physical Therapy"/>
    <n v="3000"/>
    <n v="6"/>
    <s v="No"/>
    <x v="0"/>
    <n v="4"/>
    <x v="0"/>
    <x v="2"/>
    <x v="0"/>
  </r>
  <r>
    <n v="9"/>
    <x v="8"/>
    <x v="0"/>
    <x v="8"/>
    <s v="Cardiac Catheterization"/>
    <n v="18000"/>
    <n v="8"/>
    <s v="Yes"/>
    <x v="1"/>
    <n v="2"/>
    <x v="2"/>
    <x v="2"/>
    <x v="2"/>
  </r>
  <r>
    <n v="10"/>
    <x v="9"/>
    <x v="1"/>
    <x v="9"/>
    <s v="Epinephrine Injection"/>
    <n v="100"/>
    <n v="1"/>
    <s v="No"/>
    <x v="0"/>
    <n v="5"/>
    <x v="1"/>
    <x v="1"/>
    <x v="0"/>
  </r>
  <r>
    <n v="11"/>
    <x v="10"/>
    <x v="0"/>
    <x v="10"/>
    <s v="Antibiotics and Rest"/>
    <n v="800"/>
    <n v="2"/>
    <s v="No"/>
    <x v="1"/>
    <n v="4"/>
    <x v="0"/>
    <x v="1"/>
    <x v="0"/>
  </r>
  <r>
    <n v="12"/>
    <x v="11"/>
    <x v="1"/>
    <x v="11"/>
    <s v="Radiation Therapy"/>
    <n v="20000"/>
    <n v="9"/>
    <s v="No"/>
    <x v="0"/>
    <n v="3"/>
    <x v="2"/>
    <x v="2"/>
    <x v="1"/>
  </r>
  <r>
    <n v="13"/>
    <x v="12"/>
    <x v="0"/>
    <x v="12"/>
    <s v="Delivery and Postnatal Care"/>
    <n v="12000"/>
    <n v="3"/>
    <s v="No"/>
    <x v="0"/>
    <n v="4"/>
    <x v="1"/>
    <x v="0"/>
    <x v="0"/>
  </r>
  <r>
    <n v="14"/>
    <x v="13"/>
    <x v="1"/>
    <x v="13"/>
    <s v="Lithotripsy"/>
    <n v="6000"/>
    <n v="4"/>
    <s v="No"/>
    <x v="0"/>
    <n v="3"/>
    <x v="0"/>
    <x v="0"/>
    <x v="1"/>
  </r>
  <r>
    <n v="15"/>
    <x v="14"/>
    <x v="0"/>
    <x v="14"/>
    <s v="Physical Therapy and Pain Management"/>
    <n v="4000"/>
    <n v="5"/>
    <s v="No"/>
    <x v="1"/>
    <n v="4"/>
    <x v="0"/>
    <x v="0"/>
    <x v="0"/>
  </r>
  <r>
    <n v="16"/>
    <x v="6"/>
    <x v="0"/>
    <x v="0"/>
    <s v="Angioplasty"/>
    <n v="15000"/>
    <n v="6"/>
    <s v="Yes"/>
    <x v="0"/>
    <n v="3"/>
    <x v="0"/>
    <x v="2"/>
    <x v="1"/>
  </r>
  <r>
    <n v="17"/>
    <x v="15"/>
    <x v="1"/>
    <x v="1"/>
    <s v="Insulin Therapy"/>
    <n v="2000"/>
    <n v="4"/>
    <s v="No"/>
    <x v="1"/>
    <n v="4"/>
    <x v="2"/>
    <x v="0"/>
    <x v="0"/>
  </r>
  <r>
    <n v="18"/>
    <x v="16"/>
    <x v="0"/>
    <x v="2"/>
    <s v="X-Ray and Splint"/>
    <n v="500"/>
    <n v="2"/>
    <s v="Yes"/>
    <x v="0"/>
    <n v="5"/>
    <x v="1"/>
    <x v="1"/>
    <x v="0"/>
  </r>
  <r>
    <n v="19"/>
    <x v="17"/>
    <x v="1"/>
    <x v="3"/>
    <s v="CT Scan and Medication"/>
    <n v="10000"/>
    <n v="8"/>
    <s v="No"/>
    <x v="1"/>
    <n v="2"/>
    <x v="2"/>
    <x v="2"/>
    <x v="2"/>
  </r>
  <r>
    <n v="20"/>
    <x v="18"/>
    <x v="0"/>
    <x v="4"/>
    <s v="Surgery and Chemotherapy"/>
    <n v="25000"/>
    <n v="11"/>
    <s v="Yes"/>
    <x v="0"/>
    <n v="4"/>
    <x v="0"/>
    <x v="3"/>
    <x v="0"/>
  </r>
  <r>
    <n v="21"/>
    <x v="19"/>
    <x v="1"/>
    <x v="5"/>
    <s v="Medication and Counseling"/>
    <n v="1000"/>
    <n v="3"/>
    <s v="No"/>
    <x v="1"/>
    <n v="4"/>
    <x v="2"/>
    <x v="0"/>
    <x v="0"/>
  </r>
  <r>
    <n v="22"/>
    <x v="1"/>
    <x v="0"/>
    <x v="6"/>
    <s v="Appendectomy"/>
    <n v="8000"/>
    <n v="5"/>
    <s v="Yes"/>
    <x v="0"/>
    <n v="3"/>
    <x v="0"/>
    <x v="0"/>
    <x v="1"/>
  </r>
  <r>
    <n v="23"/>
    <x v="0"/>
    <x v="1"/>
    <x v="7"/>
    <s v="Cast and Physical Therapy"/>
    <n v="3000"/>
    <n v="7"/>
    <s v="No"/>
    <x v="0"/>
    <n v="4"/>
    <x v="0"/>
    <x v="2"/>
    <x v="0"/>
  </r>
  <r>
    <n v="24"/>
    <x v="3"/>
    <x v="0"/>
    <x v="8"/>
    <s v="Cardiac Catheterization"/>
    <n v="18000"/>
    <n v="9"/>
    <s v="Yes"/>
    <x v="1"/>
    <n v="2"/>
    <x v="2"/>
    <x v="2"/>
    <x v="2"/>
  </r>
  <r>
    <n v="25"/>
    <x v="20"/>
    <x v="1"/>
    <x v="9"/>
    <s v="Epinephrine Injection"/>
    <n v="100"/>
    <n v="2"/>
    <s v="No"/>
    <x v="0"/>
    <n v="5"/>
    <x v="1"/>
    <x v="1"/>
    <x v="0"/>
  </r>
  <r>
    <n v="26"/>
    <x v="13"/>
    <x v="0"/>
    <x v="10"/>
    <s v="Antibiotics and Rest"/>
    <n v="800"/>
    <n v="3"/>
    <s v="No"/>
    <x v="1"/>
    <n v="4"/>
    <x v="0"/>
    <x v="0"/>
    <x v="0"/>
  </r>
  <r>
    <n v="27"/>
    <x v="21"/>
    <x v="1"/>
    <x v="11"/>
    <s v="Radiation Therapy"/>
    <n v="20000"/>
    <n v="10"/>
    <s v="No"/>
    <x v="0"/>
    <n v="3"/>
    <x v="2"/>
    <x v="2"/>
    <x v="1"/>
  </r>
  <r>
    <n v="28"/>
    <x v="16"/>
    <x v="0"/>
    <x v="12"/>
    <s v="Delivery and Postnatal Care"/>
    <n v="12000"/>
    <n v="4"/>
    <s v="No"/>
    <x v="0"/>
    <n v="4"/>
    <x v="1"/>
    <x v="0"/>
    <x v="0"/>
  </r>
  <r>
    <n v="29"/>
    <x v="4"/>
    <x v="1"/>
    <x v="13"/>
    <s v="Lithotripsy"/>
    <n v="6000"/>
    <n v="5"/>
    <s v="No"/>
    <x v="0"/>
    <n v="3"/>
    <x v="0"/>
    <x v="0"/>
    <x v="1"/>
  </r>
  <r>
    <n v="30"/>
    <x v="1"/>
    <x v="0"/>
    <x v="14"/>
    <s v="Physical Therapy and Pain Management"/>
    <n v="4000"/>
    <n v="6"/>
    <s v="No"/>
    <x v="1"/>
    <n v="4"/>
    <x v="0"/>
    <x v="2"/>
    <x v="0"/>
  </r>
  <r>
    <n v="31"/>
    <x v="10"/>
    <x v="0"/>
    <x v="0"/>
    <s v="Angioplasty"/>
    <n v="15000"/>
    <n v="7"/>
    <s v="Yes"/>
    <x v="0"/>
    <n v="4"/>
    <x v="0"/>
    <x v="2"/>
    <x v="0"/>
  </r>
  <r>
    <n v="32"/>
    <x v="11"/>
    <x v="1"/>
    <x v="1"/>
    <s v="Insulin Therapy"/>
    <n v="2000"/>
    <n v="5"/>
    <s v="No"/>
    <x v="1"/>
    <n v="3"/>
    <x v="2"/>
    <x v="0"/>
    <x v="1"/>
  </r>
  <r>
    <n v="33"/>
    <x v="12"/>
    <x v="0"/>
    <x v="2"/>
    <s v="X-Ray and Splint"/>
    <n v="500"/>
    <n v="3"/>
    <s v="No"/>
    <x v="0"/>
    <n v="5"/>
    <x v="1"/>
    <x v="0"/>
    <x v="0"/>
  </r>
  <r>
    <n v="34"/>
    <x v="8"/>
    <x v="1"/>
    <x v="3"/>
    <s v="CT Scan and Medication"/>
    <n v="10000"/>
    <n v="9"/>
    <s v="Yes"/>
    <x v="1"/>
    <n v="2"/>
    <x v="2"/>
    <x v="2"/>
    <x v="2"/>
  </r>
  <r>
    <n v="35"/>
    <x v="6"/>
    <x v="0"/>
    <x v="4"/>
    <s v="Surgery and Chemotherapy"/>
    <n v="25000"/>
    <n v="12"/>
    <s v="No"/>
    <x v="0"/>
    <n v="4"/>
    <x v="0"/>
    <x v="3"/>
    <x v="0"/>
  </r>
  <r>
    <n v="36"/>
    <x v="5"/>
    <x v="1"/>
    <x v="5"/>
    <s v="Medication and Counseling"/>
    <n v="1000"/>
    <n v="4"/>
    <s v="No"/>
    <x v="1"/>
    <n v="4"/>
    <x v="2"/>
    <x v="0"/>
    <x v="0"/>
  </r>
  <r>
    <n v="37"/>
    <x v="0"/>
    <x v="0"/>
    <x v="6"/>
    <s v="Appendectomy"/>
    <n v="8000"/>
    <n v="6"/>
    <s v="No"/>
    <x v="0"/>
    <n v="3"/>
    <x v="0"/>
    <x v="2"/>
    <x v="1"/>
  </r>
  <r>
    <n v="38"/>
    <x v="7"/>
    <x v="1"/>
    <x v="7"/>
    <s v="Cast and Physical Therapy"/>
    <n v="3000"/>
    <n v="8"/>
    <s v="No"/>
    <x v="0"/>
    <n v="4"/>
    <x v="0"/>
    <x v="2"/>
    <x v="0"/>
  </r>
  <r>
    <n v="39"/>
    <x v="17"/>
    <x v="0"/>
    <x v="8"/>
    <s v="Cardiac Catheterization"/>
    <n v="18000"/>
    <n v="10"/>
    <s v="Yes"/>
    <x v="1"/>
    <n v="2"/>
    <x v="2"/>
    <x v="2"/>
    <x v="2"/>
  </r>
  <r>
    <n v="40"/>
    <x v="9"/>
    <x v="1"/>
    <x v="9"/>
    <s v="Epinephrine Injection"/>
    <n v="100"/>
    <n v="3"/>
    <s v="No"/>
    <x v="0"/>
    <n v="5"/>
    <x v="1"/>
    <x v="0"/>
    <x v="0"/>
  </r>
  <r>
    <n v="41"/>
    <x v="13"/>
    <x v="0"/>
    <x v="10"/>
    <s v="Antibiotics and Rest"/>
    <n v="800"/>
    <n v="4"/>
    <s v="No"/>
    <x v="1"/>
    <n v="4"/>
    <x v="0"/>
    <x v="0"/>
    <x v="0"/>
  </r>
  <r>
    <n v="42"/>
    <x v="14"/>
    <x v="1"/>
    <x v="11"/>
    <s v="Radiation Therapy"/>
    <n v="20000"/>
    <n v="11"/>
    <s v="No"/>
    <x v="0"/>
    <n v="3"/>
    <x v="0"/>
    <x v="3"/>
    <x v="1"/>
  </r>
  <r>
    <n v="43"/>
    <x v="2"/>
    <x v="0"/>
    <x v="12"/>
    <s v="Delivery and Postnatal Care"/>
    <n v="12000"/>
    <n v="5"/>
    <s v="No"/>
    <x v="0"/>
    <n v="4"/>
    <x v="1"/>
    <x v="0"/>
    <x v="0"/>
  </r>
  <r>
    <n v="44"/>
    <x v="6"/>
    <x v="1"/>
    <x v="13"/>
    <s v="Lithotripsy"/>
    <n v="6000"/>
    <n v="6"/>
    <s v="No"/>
    <x v="0"/>
    <n v="3"/>
    <x v="0"/>
    <x v="2"/>
    <x v="1"/>
  </r>
  <r>
    <n v="45"/>
    <x v="11"/>
    <x v="0"/>
    <x v="14"/>
    <s v="Physical Therapy and Pain Management"/>
    <n v="4000"/>
    <n v="7"/>
    <s v="No"/>
    <x v="1"/>
    <n v="4"/>
    <x v="2"/>
    <x v="2"/>
    <x v="0"/>
  </r>
  <r>
    <n v="46"/>
    <x v="6"/>
    <x v="0"/>
    <x v="0"/>
    <s v="Angioplasty"/>
    <n v="15000"/>
    <n v="8"/>
    <s v="Yes"/>
    <x v="0"/>
    <n v="3"/>
    <x v="0"/>
    <x v="2"/>
    <x v="1"/>
  </r>
  <r>
    <n v="47"/>
    <x v="15"/>
    <x v="1"/>
    <x v="1"/>
    <s v="Insulin Therapy"/>
    <n v="2000"/>
    <n v="6"/>
    <s v="No"/>
    <x v="1"/>
    <n v="4"/>
    <x v="2"/>
    <x v="2"/>
    <x v="0"/>
  </r>
  <r>
    <n v="48"/>
    <x v="16"/>
    <x v="0"/>
    <x v="2"/>
    <s v="X-Ray and Splint"/>
    <n v="500"/>
    <n v="4"/>
    <s v="Yes"/>
    <x v="0"/>
    <n v="5"/>
    <x v="1"/>
    <x v="0"/>
    <x v="0"/>
  </r>
  <r>
    <n v="49"/>
    <x v="17"/>
    <x v="1"/>
    <x v="3"/>
    <s v="CT Scan and Medication"/>
    <n v="10000"/>
    <n v="10"/>
    <s v="No"/>
    <x v="1"/>
    <n v="2"/>
    <x v="2"/>
    <x v="2"/>
    <x v="2"/>
  </r>
  <r>
    <n v="50"/>
    <x v="18"/>
    <x v="0"/>
    <x v="4"/>
    <s v="Surgery and Chemotherapy"/>
    <n v="25000"/>
    <n v="13"/>
    <s v="Yes"/>
    <x v="0"/>
    <n v="4"/>
    <x v="0"/>
    <x v="3"/>
    <x v="0"/>
  </r>
  <r>
    <n v="51"/>
    <x v="19"/>
    <x v="1"/>
    <x v="5"/>
    <s v="Medication and Counseling"/>
    <n v="1000"/>
    <n v="5"/>
    <s v="No"/>
    <x v="1"/>
    <n v="4"/>
    <x v="2"/>
    <x v="0"/>
    <x v="0"/>
  </r>
  <r>
    <n v="52"/>
    <x v="1"/>
    <x v="0"/>
    <x v="6"/>
    <s v="Appendectomy"/>
    <n v="8000"/>
    <n v="7"/>
    <s v="Yes"/>
    <x v="0"/>
    <n v="3"/>
    <x v="0"/>
    <x v="2"/>
    <x v="1"/>
  </r>
  <r>
    <n v="53"/>
    <x v="0"/>
    <x v="1"/>
    <x v="7"/>
    <s v="Cast and Physical Therapy"/>
    <n v="3000"/>
    <n v="9"/>
    <s v="No"/>
    <x v="0"/>
    <n v="4"/>
    <x v="0"/>
    <x v="2"/>
    <x v="0"/>
  </r>
  <r>
    <n v="54"/>
    <x v="3"/>
    <x v="0"/>
    <x v="8"/>
    <s v="Cardiac Catheterization"/>
    <n v="18000"/>
    <n v="11"/>
    <s v="Yes"/>
    <x v="1"/>
    <n v="2"/>
    <x v="2"/>
    <x v="3"/>
    <x v="2"/>
  </r>
  <r>
    <n v="55"/>
    <x v="20"/>
    <x v="1"/>
    <x v="9"/>
    <s v="Epinephrine Injection"/>
    <n v="100"/>
    <n v="4"/>
    <s v="No"/>
    <x v="0"/>
    <n v="5"/>
    <x v="1"/>
    <x v="0"/>
    <x v="0"/>
  </r>
  <r>
    <n v="56"/>
    <x v="13"/>
    <x v="0"/>
    <x v="10"/>
    <s v="Antibiotics and Rest"/>
    <n v="800"/>
    <n v="5"/>
    <s v="No"/>
    <x v="1"/>
    <n v="4"/>
    <x v="0"/>
    <x v="0"/>
    <x v="0"/>
  </r>
  <r>
    <n v="57"/>
    <x v="21"/>
    <x v="1"/>
    <x v="11"/>
    <s v="Radiation Therapy"/>
    <n v="20000"/>
    <n v="12"/>
    <s v="No"/>
    <x v="0"/>
    <n v="3"/>
    <x v="2"/>
    <x v="3"/>
    <x v="1"/>
  </r>
  <r>
    <n v="58"/>
    <x v="16"/>
    <x v="0"/>
    <x v="12"/>
    <s v="Delivery and Postnatal Care"/>
    <n v="12000"/>
    <n v="6"/>
    <s v="No"/>
    <x v="0"/>
    <n v="4"/>
    <x v="1"/>
    <x v="2"/>
    <x v="0"/>
  </r>
  <r>
    <n v="59"/>
    <x v="4"/>
    <x v="1"/>
    <x v="13"/>
    <s v="Lithotripsy"/>
    <n v="6000"/>
    <n v="7"/>
    <s v="No"/>
    <x v="0"/>
    <n v="3"/>
    <x v="0"/>
    <x v="2"/>
    <x v="1"/>
  </r>
  <r>
    <n v="61"/>
    <x v="10"/>
    <x v="0"/>
    <x v="0"/>
    <s v="Angioplasty"/>
    <n v="15000"/>
    <n v="9"/>
    <s v="Yes"/>
    <x v="0"/>
    <n v="4"/>
    <x v="0"/>
    <x v="2"/>
    <x v="0"/>
  </r>
  <r>
    <n v="62"/>
    <x v="11"/>
    <x v="1"/>
    <x v="1"/>
    <s v="Insulin Therapy"/>
    <n v="2000"/>
    <n v="7"/>
    <s v="No"/>
    <x v="1"/>
    <n v="3"/>
    <x v="2"/>
    <x v="2"/>
    <x v="1"/>
  </r>
  <r>
    <n v="63"/>
    <x v="12"/>
    <x v="0"/>
    <x v="2"/>
    <s v="X-Ray and Splint"/>
    <n v="500"/>
    <n v="5"/>
    <s v="No"/>
    <x v="0"/>
    <n v="5"/>
    <x v="1"/>
    <x v="0"/>
    <x v="0"/>
  </r>
  <r>
    <n v="64"/>
    <x v="8"/>
    <x v="1"/>
    <x v="3"/>
    <s v="CT Scan and Medication"/>
    <n v="10000"/>
    <n v="11"/>
    <s v="Yes"/>
    <x v="1"/>
    <n v="2"/>
    <x v="2"/>
    <x v="3"/>
    <x v="2"/>
  </r>
  <r>
    <n v="65"/>
    <x v="6"/>
    <x v="0"/>
    <x v="4"/>
    <s v="Surgery and Chemotherapy"/>
    <n v="25000"/>
    <n v="14"/>
    <s v="No"/>
    <x v="0"/>
    <n v="4"/>
    <x v="0"/>
    <x v="3"/>
    <x v="0"/>
  </r>
  <r>
    <n v="66"/>
    <x v="5"/>
    <x v="1"/>
    <x v="5"/>
    <s v="Medication and Counseling"/>
    <n v="1000"/>
    <n v="6"/>
    <s v="No"/>
    <x v="1"/>
    <n v="4"/>
    <x v="2"/>
    <x v="2"/>
    <x v="0"/>
  </r>
  <r>
    <n v="67"/>
    <x v="0"/>
    <x v="0"/>
    <x v="6"/>
    <s v="Appendectomy"/>
    <n v="8000"/>
    <n v="8"/>
    <s v="No"/>
    <x v="0"/>
    <n v="3"/>
    <x v="0"/>
    <x v="2"/>
    <x v="1"/>
  </r>
  <r>
    <n v="68"/>
    <x v="7"/>
    <x v="1"/>
    <x v="7"/>
    <s v="Cast and Physical Therapy"/>
    <n v="3000"/>
    <n v="10"/>
    <s v="No"/>
    <x v="0"/>
    <n v="4"/>
    <x v="0"/>
    <x v="2"/>
    <x v="0"/>
  </r>
  <r>
    <n v="69"/>
    <x v="17"/>
    <x v="0"/>
    <x v="8"/>
    <s v="Cardiac Catheterization"/>
    <n v="18000"/>
    <n v="12"/>
    <s v="Yes"/>
    <x v="1"/>
    <n v="2"/>
    <x v="2"/>
    <x v="3"/>
    <x v="2"/>
  </r>
  <r>
    <n v="70"/>
    <x v="9"/>
    <x v="1"/>
    <x v="9"/>
    <s v="Epinephrine Injection"/>
    <n v="100"/>
    <n v="5"/>
    <s v="No"/>
    <x v="0"/>
    <n v="5"/>
    <x v="1"/>
    <x v="0"/>
    <x v="0"/>
  </r>
  <r>
    <n v="71"/>
    <x v="13"/>
    <x v="0"/>
    <x v="10"/>
    <s v="Antibiotics and Rest"/>
    <n v="800"/>
    <n v="6"/>
    <s v="No"/>
    <x v="1"/>
    <n v="4"/>
    <x v="0"/>
    <x v="2"/>
    <x v="0"/>
  </r>
  <r>
    <n v="72"/>
    <x v="14"/>
    <x v="1"/>
    <x v="11"/>
    <s v="Radiation Therapy"/>
    <n v="20000"/>
    <n v="13"/>
    <s v="No"/>
    <x v="0"/>
    <n v="3"/>
    <x v="0"/>
    <x v="3"/>
    <x v="1"/>
  </r>
  <r>
    <n v="73"/>
    <x v="2"/>
    <x v="0"/>
    <x v="12"/>
    <s v="Delivery and Postnatal Care"/>
    <n v="12000"/>
    <n v="7"/>
    <s v="No"/>
    <x v="0"/>
    <n v="4"/>
    <x v="1"/>
    <x v="2"/>
    <x v="0"/>
  </r>
  <r>
    <n v="74"/>
    <x v="6"/>
    <x v="1"/>
    <x v="13"/>
    <s v="Lithotripsy"/>
    <n v="6000"/>
    <n v="8"/>
    <s v="No"/>
    <x v="0"/>
    <n v="3"/>
    <x v="0"/>
    <x v="2"/>
    <x v="1"/>
  </r>
  <r>
    <n v="75"/>
    <x v="11"/>
    <x v="0"/>
    <x v="14"/>
    <s v="Physical Therapy and Pain Management"/>
    <n v="4000"/>
    <n v="9"/>
    <s v="No"/>
    <x v="1"/>
    <n v="4"/>
    <x v="2"/>
    <x v="2"/>
    <x v="0"/>
  </r>
  <r>
    <n v="76"/>
    <x v="6"/>
    <x v="0"/>
    <x v="0"/>
    <s v="Angioplasty"/>
    <n v="15000"/>
    <n v="10"/>
    <s v="Yes"/>
    <x v="0"/>
    <n v="3"/>
    <x v="0"/>
    <x v="2"/>
    <x v="1"/>
  </r>
  <r>
    <n v="77"/>
    <x v="15"/>
    <x v="1"/>
    <x v="1"/>
    <s v="Insulin Therapy"/>
    <n v="2000"/>
    <n v="8"/>
    <s v="No"/>
    <x v="1"/>
    <n v="4"/>
    <x v="2"/>
    <x v="2"/>
    <x v="0"/>
  </r>
  <r>
    <n v="78"/>
    <x v="16"/>
    <x v="0"/>
    <x v="2"/>
    <s v="X-Ray and Splint"/>
    <n v="500"/>
    <n v="6"/>
    <s v="Yes"/>
    <x v="0"/>
    <n v="5"/>
    <x v="1"/>
    <x v="2"/>
    <x v="0"/>
  </r>
  <r>
    <n v="79"/>
    <x v="17"/>
    <x v="1"/>
    <x v="3"/>
    <s v="CT Scan and Medication"/>
    <n v="10000"/>
    <n v="12"/>
    <s v="No"/>
    <x v="1"/>
    <n v="2"/>
    <x v="2"/>
    <x v="3"/>
    <x v="2"/>
  </r>
  <r>
    <n v="80"/>
    <x v="18"/>
    <x v="0"/>
    <x v="4"/>
    <s v="Surgery and Chemotherapy"/>
    <n v="25000"/>
    <n v="15"/>
    <s v="Yes"/>
    <x v="0"/>
    <n v="4"/>
    <x v="0"/>
    <x v="3"/>
    <x v="0"/>
  </r>
  <r>
    <n v="81"/>
    <x v="19"/>
    <x v="1"/>
    <x v="5"/>
    <s v="Medication and Counseling"/>
    <n v="1000"/>
    <n v="7"/>
    <s v="No"/>
    <x v="1"/>
    <n v="4"/>
    <x v="2"/>
    <x v="2"/>
    <x v="0"/>
  </r>
  <r>
    <n v="82"/>
    <x v="1"/>
    <x v="0"/>
    <x v="6"/>
    <s v="Appendectomy"/>
    <n v="8000"/>
    <n v="9"/>
    <s v="Yes"/>
    <x v="0"/>
    <n v="3"/>
    <x v="0"/>
    <x v="2"/>
    <x v="1"/>
  </r>
  <r>
    <n v="83"/>
    <x v="0"/>
    <x v="1"/>
    <x v="7"/>
    <s v="Cast and Physical Therapy"/>
    <n v="3000"/>
    <n v="11"/>
    <s v="No"/>
    <x v="0"/>
    <n v="4"/>
    <x v="0"/>
    <x v="3"/>
    <x v="0"/>
  </r>
  <r>
    <n v="84"/>
    <x v="3"/>
    <x v="0"/>
    <x v="8"/>
    <s v="Cardiac Catheterization"/>
    <n v="18000"/>
    <n v="13"/>
    <s v="Yes"/>
    <x v="1"/>
    <n v="2"/>
    <x v="2"/>
    <x v="3"/>
    <x v="2"/>
  </r>
  <r>
    <n v="85"/>
    <x v="20"/>
    <x v="1"/>
    <x v="9"/>
    <s v="Epinephrine Injection"/>
    <n v="100"/>
    <n v="6"/>
    <s v="No"/>
    <x v="0"/>
    <n v="5"/>
    <x v="1"/>
    <x v="2"/>
    <x v="0"/>
  </r>
  <r>
    <n v="86"/>
    <x v="13"/>
    <x v="0"/>
    <x v="10"/>
    <s v="Antibiotics and Rest"/>
    <n v="800"/>
    <n v="7"/>
    <s v="No"/>
    <x v="1"/>
    <n v="4"/>
    <x v="0"/>
    <x v="2"/>
    <x v="0"/>
  </r>
  <r>
    <n v="87"/>
    <x v="21"/>
    <x v="1"/>
    <x v="11"/>
    <s v="Radiation Therapy"/>
    <n v="20000"/>
    <n v="14"/>
    <s v="No"/>
    <x v="0"/>
    <n v="3"/>
    <x v="2"/>
    <x v="3"/>
    <x v="1"/>
  </r>
  <r>
    <n v="88"/>
    <x v="16"/>
    <x v="0"/>
    <x v="12"/>
    <s v="Delivery and Postnatal Care"/>
    <n v="12000"/>
    <n v="8"/>
    <s v="No"/>
    <x v="0"/>
    <n v="4"/>
    <x v="1"/>
    <x v="2"/>
    <x v="0"/>
  </r>
  <r>
    <n v="89"/>
    <x v="4"/>
    <x v="1"/>
    <x v="13"/>
    <s v="Lithotripsy"/>
    <n v="6000"/>
    <n v="9"/>
    <s v="No"/>
    <x v="0"/>
    <n v="3"/>
    <x v="0"/>
    <x v="2"/>
    <x v="1"/>
  </r>
  <r>
    <n v="90"/>
    <x v="1"/>
    <x v="0"/>
    <x v="14"/>
    <s v="Physical Therapy and Pain Management"/>
    <n v="4000"/>
    <n v="10"/>
    <s v="No"/>
    <x v="1"/>
    <n v="4"/>
    <x v="0"/>
    <x v="2"/>
    <x v="0"/>
  </r>
  <r>
    <n v="91"/>
    <x v="10"/>
    <x v="0"/>
    <x v="0"/>
    <s v="Angioplasty"/>
    <n v="15000"/>
    <n v="11"/>
    <s v="Yes"/>
    <x v="0"/>
    <n v="4"/>
    <x v="0"/>
    <x v="3"/>
    <x v="0"/>
  </r>
  <r>
    <n v="92"/>
    <x v="11"/>
    <x v="1"/>
    <x v="1"/>
    <s v="Insulin Therapy"/>
    <n v="2000"/>
    <n v="9"/>
    <s v="No"/>
    <x v="1"/>
    <n v="3"/>
    <x v="2"/>
    <x v="2"/>
    <x v="1"/>
  </r>
  <r>
    <n v="93"/>
    <x v="12"/>
    <x v="0"/>
    <x v="2"/>
    <s v="X-Ray and Splint"/>
    <n v="500"/>
    <n v="7"/>
    <s v="No"/>
    <x v="0"/>
    <n v="5"/>
    <x v="1"/>
    <x v="2"/>
    <x v="0"/>
  </r>
  <r>
    <n v="94"/>
    <x v="8"/>
    <x v="1"/>
    <x v="3"/>
    <s v="CT Scan and Medication"/>
    <n v="10000"/>
    <n v="13"/>
    <s v="Yes"/>
    <x v="1"/>
    <n v="2"/>
    <x v="2"/>
    <x v="3"/>
    <x v="2"/>
  </r>
  <r>
    <n v="95"/>
    <x v="6"/>
    <x v="0"/>
    <x v="4"/>
    <s v="Surgery and Chemotherapy"/>
    <n v="25000"/>
    <n v="16"/>
    <s v="No"/>
    <x v="0"/>
    <n v="4"/>
    <x v="0"/>
    <x v="3"/>
    <x v="0"/>
  </r>
  <r>
    <n v="96"/>
    <x v="5"/>
    <x v="1"/>
    <x v="5"/>
    <s v="Medication and Counseling"/>
    <n v="1000"/>
    <n v="8"/>
    <s v="No"/>
    <x v="1"/>
    <n v="4"/>
    <x v="2"/>
    <x v="2"/>
    <x v="0"/>
  </r>
  <r>
    <n v="97"/>
    <x v="0"/>
    <x v="0"/>
    <x v="6"/>
    <s v="Appendectomy"/>
    <n v="8000"/>
    <n v="10"/>
    <s v="No"/>
    <x v="0"/>
    <n v="3"/>
    <x v="0"/>
    <x v="2"/>
    <x v="1"/>
  </r>
  <r>
    <n v="98"/>
    <x v="7"/>
    <x v="1"/>
    <x v="7"/>
    <s v="Cast and Physical Therapy"/>
    <n v="3000"/>
    <n v="12"/>
    <s v="No"/>
    <x v="0"/>
    <n v="4"/>
    <x v="0"/>
    <x v="3"/>
    <x v="0"/>
  </r>
  <r>
    <n v="99"/>
    <x v="17"/>
    <x v="0"/>
    <x v="8"/>
    <s v="Cardiac Catheterization"/>
    <n v="18000"/>
    <n v="14"/>
    <s v="Yes"/>
    <x v="1"/>
    <n v="2"/>
    <x v="2"/>
    <x v="3"/>
    <x v="2"/>
  </r>
  <r>
    <n v="100"/>
    <x v="9"/>
    <x v="1"/>
    <x v="9"/>
    <s v="Epinephrine Injection"/>
    <n v="100"/>
    <n v="7"/>
    <s v="No"/>
    <x v="0"/>
    <n v="5"/>
    <x v="1"/>
    <x v="2"/>
    <x v="0"/>
  </r>
  <r>
    <n v="101"/>
    <x v="13"/>
    <x v="0"/>
    <x v="10"/>
    <s v="Antibiotics and Rest"/>
    <n v="800"/>
    <n v="8"/>
    <s v="No"/>
    <x v="1"/>
    <n v="4"/>
    <x v="0"/>
    <x v="2"/>
    <x v="0"/>
  </r>
  <r>
    <n v="102"/>
    <x v="14"/>
    <x v="1"/>
    <x v="11"/>
    <s v="Radiation Therapy"/>
    <n v="20000"/>
    <n v="15"/>
    <s v="No"/>
    <x v="0"/>
    <n v="3"/>
    <x v="0"/>
    <x v="3"/>
    <x v="1"/>
  </r>
  <r>
    <n v="103"/>
    <x v="2"/>
    <x v="0"/>
    <x v="12"/>
    <s v="Delivery and Postnatal Care"/>
    <n v="12000"/>
    <n v="9"/>
    <s v="No"/>
    <x v="0"/>
    <n v="4"/>
    <x v="1"/>
    <x v="2"/>
    <x v="0"/>
  </r>
  <r>
    <n v="104"/>
    <x v="6"/>
    <x v="1"/>
    <x v="13"/>
    <s v="Lithotripsy"/>
    <n v="6000"/>
    <n v="10"/>
    <s v="No"/>
    <x v="0"/>
    <n v="3"/>
    <x v="0"/>
    <x v="2"/>
    <x v="1"/>
  </r>
  <r>
    <n v="105"/>
    <x v="11"/>
    <x v="0"/>
    <x v="14"/>
    <s v="Physical Therapy and Pain Management"/>
    <n v="4000"/>
    <n v="11"/>
    <s v="No"/>
    <x v="1"/>
    <n v="4"/>
    <x v="2"/>
    <x v="3"/>
    <x v="0"/>
  </r>
  <r>
    <n v="106"/>
    <x v="6"/>
    <x v="0"/>
    <x v="0"/>
    <s v="Angioplasty"/>
    <n v="15000"/>
    <n v="12"/>
    <s v="Yes"/>
    <x v="0"/>
    <n v="3"/>
    <x v="0"/>
    <x v="3"/>
    <x v="1"/>
  </r>
  <r>
    <n v="107"/>
    <x v="15"/>
    <x v="1"/>
    <x v="1"/>
    <s v="Insulin Therapy"/>
    <n v="2000"/>
    <n v="10"/>
    <s v="No"/>
    <x v="1"/>
    <n v="4"/>
    <x v="2"/>
    <x v="2"/>
    <x v="0"/>
  </r>
  <r>
    <n v="108"/>
    <x v="16"/>
    <x v="0"/>
    <x v="2"/>
    <s v="X-Ray and Splint"/>
    <n v="500"/>
    <n v="8"/>
    <s v="Yes"/>
    <x v="0"/>
    <n v="5"/>
    <x v="1"/>
    <x v="2"/>
    <x v="0"/>
  </r>
  <r>
    <n v="109"/>
    <x v="17"/>
    <x v="1"/>
    <x v="3"/>
    <s v="CT Scan and Medication"/>
    <n v="10000"/>
    <n v="14"/>
    <s v="No"/>
    <x v="1"/>
    <n v="2"/>
    <x v="2"/>
    <x v="3"/>
    <x v="2"/>
  </r>
  <r>
    <n v="110"/>
    <x v="18"/>
    <x v="0"/>
    <x v="4"/>
    <s v="Surgery and Chemotherapy"/>
    <n v="25000"/>
    <n v="17"/>
    <s v="Yes"/>
    <x v="0"/>
    <n v="4"/>
    <x v="0"/>
    <x v="3"/>
    <x v="0"/>
  </r>
  <r>
    <n v="111"/>
    <x v="19"/>
    <x v="1"/>
    <x v="5"/>
    <s v="Medication and Counseling"/>
    <n v="1000"/>
    <n v="9"/>
    <s v="No"/>
    <x v="1"/>
    <n v="4"/>
    <x v="2"/>
    <x v="2"/>
    <x v="0"/>
  </r>
  <r>
    <n v="112"/>
    <x v="1"/>
    <x v="0"/>
    <x v="6"/>
    <s v="Appendectomy"/>
    <n v="8000"/>
    <n v="11"/>
    <s v="Yes"/>
    <x v="0"/>
    <n v="3"/>
    <x v="0"/>
    <x v="3"/>
    <x v="1"/>
  </r>
  <r>
    <n v="113"/>
    <x v="0"/>
    <x v="1"/>
    <x v="7"/>
    <s v="Cast and Physical Therapy"/>
    <n v="3000"/>
    <n v="13"/>
    <s v="No"/>
    <x v="0"/>
    <n v="4"/>
    <x v="0"/>
    <x v="3"/>
    <x v="0"/>
  </r>
  <r>
    <n v="114"/>
    <x v="3"/>
    <x v="0"/>
    <x v="8"/>
    <s v="Cardiac Catheterization"/>
    <n v="18000"/>
    <n v="15"/>
    <s v="Yes"/>
    <x v="1"/>
    <n v="2"/>
    <x v="2"/>
    <x v="3"/>
    <x v="2"/>
  </r>
  <r>
    <n v="115"/>
    <x v="20"/>
    <x v="1"/>
    <x v="9"/>
    <s v="Epinephrine Injection"/>
    <n v="100"/>
    <n v="8"/>
    <s v="No"/>
    <x v="0"/>
    <n v="5"/>
    <x v="1"/>
    <x v="2"/>
    <x v="0"/>
  </r>
  <r>
    <n v="116"/>
    <x v="13"/>
    <x v="0"/>
    <x v="10"/>
    <s v="Antibiotics and Rest"/>
    <n v="800"/>
    <n v="9"/>
    <s v="No"/>
    <x v="1"/>
    <n v="4"/>
    <x v="0"/>
    <x v="2"/>
    <x v="0"/>
  </r>
  <r>
    <n v="117"/>
    <x v="21"/>
    <x v="1"/>
    <x v="11"/>
    <s v="Radiation Therapy"/>
    <n v="20000"/>
    <n v="16"/>
    <s v="No"/>
    <x v="0"/>
    <n v="3"/>
    <x v="2"/>
    <x v="3"/>
    <x v="1"/>
  </r>
  <r>
    <n v="118"/>
    <x v="16"/>
    <x v="0"/>
    <x v="12"/>
    <s v="Delivery and Postnatal Care"/>
    <n v="12000"/>
    <n v="10"/>
    <s v="No"/>
    <x v="0"/>
    <n v="4"/>
    <x v="1"/>
    <x v="2"/>
    <x v="0"/>
  </r>
  <r>
    <n v="119"/>
    <x v="4"/>
    <x v="1"/>
    <x v="13"/>
    <s v="Lithotripsy"/>
    <n v="6000"/>
    <n v="11"/>
    <s v="No"/>
    <x v="0"/>
    <n v="3"/>
    <x v="0"/>
    <x v="3"/>
    <x v="1"/>
  </r>
  <r>
    <n v="120"/>
    <x v="1"/>
    <x v="0"/>
    <x v="14"/>
    <s v="Physical Therapy and Pain Management"/>
    <n v="4000"/>
    <n v="12"/>
    <s v="No"/>
    <x v="1"/>
    <n v="4"/>
    <x v="0"/>
    <x v="3"/>
    <x v="0"/>
  </r>
  <r>
    <n v="122"/>
    <x v="11"/>
    <x v="1"/>
    <x v="1"/>
    <s v="Insulin Therapy"/>
    <n v="2000"/>
    <n v="11"/>
    <s v="No"/>
    <x v="1"/>
    <n v="3"/>
    <x v="2"/>
    <x v="3"/>
    <x v="1"/>
  </r>
  <r>
    <n v="123"/>
    <x v="12"/>
    <x v="0"/>
    <x v="2"/>
    <s v="X-Ray and Splint"/>
    <n v="500"/>
    <n v="9"/>
    <s v="No"/>
    <x v="0"/>
    <n v="5"/>
    <x v="1"/>
    <x v="2"/>
    <x v="0"/>
  </r>
  <r>
    <n v="124"/>
    <x v="8"/>
    <x v="1"/>
    <x v="3"/>
    <s v="CT Scan and Medication"/>
    <n v="10000"/>
    <n v="15"/>
    <s v="Yes"/>
    <x v="1"/>
    <n v="2"/>
    <x v="2"/>
    <x v="3"/>
    <x v="2"/>
  </r>
  <r>
    <n v="125"/>
    <x v="6"/>
    <x v="0"/>
    <x v="4"/>
    <s v="Surgery and Chemotherapy"/>
    <n v="25000"/>
    <n v="18"/>
    <s v="No"/>
    <x v="0"/>
    <n v="4"/>
    <x v="0"/>
    <x v="3"/>
    <x v="0"/>
  </r>
  <r>
    <n v="126"/>
    <x v="5"/>
    <x v="1"/>
    <x v="5"/>
    <s v="Medication and Counseling"/>
    <n v="1000"/>
    <n v="10"/>
    <s v="No"/>
    <x v="1"/>
    <n v="4"/>
    <x v="2"/>
    <x v="2"/>
    <x v="0"/>
  </r>
  <r>
    <n v="127"/>
    <x v="0"/>
    <x v="0"/>
    <x v="6"/>
    <s v="Appendectomy"/>
    <n v="8000"/>
    <n v="12"/>
    <s v="No"/>
    <x v="0"/>
    <n v="3"/>
    <x v="0"/>
    <x v="3"/>
    <x v="1"/>
  </r>
  <r>
    <n v="128"/>
    <x v="7"/>
    <x v="1"/>
    <x v="7"/>
    <s v="Cast and Physical Therapy"/>
    <n v="3000"/>
    <n v="14"/>
    <s v="No"/>
    <x v="0"/>
    <n v="4"/>
    <x v="0"/>
    <x v="3"/>
    <x v="0"/>
  </r>
  <r>
    <n v="129"/>
    <x v="17"/>
    <x v="0"/>
    <x v="8"/>
    <s v="Cardiac Catheterization"/>
    <n v="18000"/>
    <n v="16"/>
    <s v="Yes"/>
    <x v="1"/>
    <n v="2"/>
    <x v="2"/>
    <x v="3"/>
    <x v="2"/>
  </r>
  <r>
    <n v="130"/>
    <x v="9"/>
    <x v="1"/>
    <x v="9"/>
    <s v="Epinephrine Injection"/>
    <n v="100"/>
    <n v="9"/>
    <s v="No"/>
    <x v="0"/>
    <n v="5"/>
    <x v="1"/>
    <x v="2"/>
    <x v="0"/>
  </r>
  <r>
    <n v="131"/>
    <x v="13"/>
    <x v="0"/>
    <x v="10"/>
    <s v="Antibiotics and Rest"/>
    <n v="800"/>
    <n v="10"/>
    <s v="No"/>
    <x v="1"/>
    <n v="4"/>
    <x v="0"/>
    <x v="2"/>
    <x v="0"/>
  </r>
  <r>
    <n v="132"/>
    <x v="14"/>
    <x v="1"/>
    <x v="11"/>
    <s v="Radiation Therapy"/>
    <n v="20000"/>
    <n v="17"/>
    <s v="No"/>
    <x v="0"/>
    <n v="3"/>
    <x v="0"/>
    <x v="3"/>
    <x v="1"/>
  </r>
  <r>
    <n v="133"/>
    <x v="2"/>
    <x v="0"/>
    <x v="12"/>
    <s v="Delivery and Postnatal Care"/>
    <n v="12000"/>
    <n v="11"/>
    <s v="No"/>
    <x v="0"/>
    <n v="4"/>
    <x v="1"/>
    <x v="3"/>
    <x v="0"/>
  </r>
  <r>
    <n v="134"/>
    <x v="6"/>
    <x v="1"/>
    <x v="13"/>
    <s v="Lithotripsy"/>
    <n v="6000"/>
    <n v="12"/>
    <s v="No"/>
    <x v="0"/>
    <n v="3"/>
    <x v="0"/>
    <x v="3"/>
    <x v="1"/>
  </r>
  <r>
    <n v="135"/>
    <x v="11"/>
    <x v="0"/>
    <x v="14"/>
    <s v="Physical Therapy and Pain Management"/>
    <n v="4000"/>
    <n v="13"/>
    <s v="No"/>
    <x v="1"/>
    <n v="4"/>
    <x v="2"/>
    <x v="3"/>
    <x v="0"/>
  </r>
  <r>
    <n v="136"/>
    <x v="6"/>
    <x v="0"/>
    <x v="0"/>
    <s v="Angioplasty"/>
    <n v="15000"/>
    <n v="14"/>
    <s v="Yes"/>
    <x v="0"/>
    <n v="3"/>
    <x v="0"/>
    <x v="3"/>
    <x v="1"/>
  </r>
  <r>
    <n v="137"/>
    <x v="15"/>
    <x v="1"/>
    <x v="1"/>
    <s v="Insulin Therapy"/>
    <n v="2000"/>
    <n v="12"/>
    <s v="No"/>
    <x v="1"/>
    <n v="4"/>
    <x v="2"/>
    <x v="3"/>
    <x v="0"/>
  </r>
  <r>
    <n v="138"/>
    <x v="16"/>
    <x v="0"/>
    <x v="2"/>
    <s v="X-Ray and Splint"/>
    <n v="500"/>
    <n v="10"/>
    <s v="Yes"/>
    <x v="0"/>
    <n v="5"/>
    <x v="1"/>
    <x v="2"/>
    <x v="0"/>
  </r>
  <r>
    <n v="139"/>
    <x v="17"/>
    <x v="1"/>
    <x v="3"/>
    <s v="CT Scan and Medication"/>
    <n v="10000"/>
    <n v="16"/>
    <s v="No"/>
    <x v="1"/>
    <n v="2"/>
    <x v="2"/>
    <x v="3"/>
    <x v="2"/>
  </r>
  <r>
    <n v="140"/>
    <x v="18"/>
    <x v="0"/>
    <x v="4"/>
    <s v="Surgery and Chemotherapy"/>
    <n v="25000"/>
    <n v="19"/>
    <s v="Yes"/>
    <x v="0"/>
    <n v="4"/>
    <x v="0"/>
    <x v="3"/>
    <x v="0"/>
  </r>
  <r>
    <n v="141"/>
    <x v="19"/>
    <x v="1"/>
    <x v="5"/>
    <s v="Medication and Counseling"/>
    <n v="1000"/>
    <n v="11"/>
    <s v="No"/>
    <x v="1"/>
    <n v="4"/>
    <x v="2"/>
    <x v="3"/>
    <x v="0"/>
  </r>
  <r>
    <n v="142"/>
    <x v="1"/>
    <x v="0"/>
    <x v="6"/>
    <s v="Appendectomy"/>
    <n v="8000"/>
    <n v="13"/>
    <s v="Yes"/>
    <x v="0"/>
    <n v="3"/>
    <x v="0"/>
    <x v="3"/>
    <x v="1"/>
  </r>
  <r>
    <n v="143"/>
    <x v="0"/>
    <x v="1"/>
    <x v="7"/>
    <s v="Cast and Physical Therapy"/>
    <n v="3000"/>
    <n v="15"/>
    <s v="No"/>
    <x v="0"/>
    <n v="4"/>
    <x v="0"/>
    <x v="3"/>
    <x v="0"/>
  </r>
  <r>
    <n v="144"/>
    <x v="3"/>
    <x v="0"/>
    <x v="8"/>
    <s v="Cardiac Catheterization"/>
    <n v="18000"/>
    <n v="17"/>
    <s v="Yes"/>
    <x v="1"/>
    <n v="2"/>
    <x v="2"/>
    <x v="3"/>
    <x v="2"/>
  </r>
  <r>
    <n v="145"/>
    <x v="20"/>
    <x v="1"/>
    <x v="9"/>
    <s v="Epinephrine Injection"/>
    <n v="100"/>
    <n v="10"/>
    <s v="No"/>
    <x v="0"/>
    <n v="5"/>
    <x v="1"/>
    <x v="2"/>
    <x v="0"/>
  </r>
  <r>
    <n v="146"/>
    <x v="13"/>
    <x v="0"/>
    <x v="10"/>
    <s v="Antibiotics and Rest"/>
    <n v="800"/>
    <n v="11"/>
    <s v="No"/>
    <x v="1"/>
    <n v="4"/>
    <x v="0"/>
    <x v="3"/>
    <x v="0"/>
  </r>
  <r>
    <n v="147"/>
    <x v="21"/>
    <x v="1"/>
    <x v="11"/>
    <s v="Radiation Therapy"/>
    <n v="20000"/>
    <n v="18"/>
    <s v="No"/>
    <x v="0"/>
    <n v="3"/>
    <x v="2"/>
    <x v="3"/>
    <x v="1"/>
  </r>
  <r>
    <n v="148"/>
    <x v="16"/>
    <x v="0"/>
    <x v="12"/>
    <s v="Delivery and Postnatal Care"/>
    <n v="12000"/>
    <n v="12"/>
    <s v="No"/>
    <x v="0"/>
    <n v="4"/>
    <x v="1"/>
    <x v="3"/>
    <x v="0"/>
  </r>
  <r>
    <n v="149"/>
    <x v="4"/>
    <x v="1"/>
    <x v="13"/>
    <s v="Lithotripsy"/>
    <n v="6000"/>
    <n v="13"/>
    <s v="No"/>
    <x v="0"/>
    <n v="3"/>
    <x v="0"/>
    <x v="3"/>
    <x v="1"/>
  </r>
  <r>
    <n v="150"/>
    <x v="1"/>
    <x v="0"/>
    <x v="14"/>
    <s v="Physical Therapy and Pain Management"/>
    <n v="4000"/>
    <n v="14"/>
    <s v="No"/>
    <x v="1"/>
    <n v="4"/>
    <x v="0"/>
    <x v="3"/>
    <x v="0"/>
  </r>
  <r>
    <n v="151"/>
    <x v="10"/>
    <x v="0"/>
    <x v="0"/>
    <s v="Angioplasty"/>
    <n v="15000"/>
    <n v="15"/>
    <s v="Yes"/>
    <x v="0"/>
    <n v="4"/>
    <x v="0"/>
    <x v="3"/>
    <x v="0"/>
  </r>
  <r>
    <n v="152"/>
    <x v="11"/>
    <x v="1"/>
    <x v="1"/>
    <s v="Insulin Therapy"/>
    <n v="2000"/>
    <n v="13"/>
    <s v="No"/>
    <x v="1"/>
    <n v="3"/>
    <x v="2"/>
    <x v="3"/>
    <x v="1"/>
  </r>
  <r>
    <n v="153"/>
    <x v="12"/>
    <x v="0"/>
    <x v="2"/>
    <s v="X-Ray and Splint"/>
    <n v="500"/>
    <n v="11"/>
    <s v="No"/>
    <x v="0"/>
    <n v="5"/>
    <x v="1"/>
    <x v="3"/>
    <x v="0"/>
  </r>
  <r>
    <n v="154"/>
    <x v="8"/>
    <x v="1"/>
    <x v="3"/>
    <s v="CT Scan and Medication"/>
    <n v="10000"/>
    <n v="17"/>
    <s v="Yes"/>
    <x v="1"/>
    <n v="2"/>
    <x v="2"/>
    <x v="3"/>
    <x v="2"/>
  </r>
  <r>
    <n v="155"/>
    <x v="6"/>
    <x v="0"/>
    <x v="4"/>
    <s v="Surgery and Chemotherapy"/>
    <n v="25000"/>
    <n v="20"/>
    <s v="No"/>
    <x v="0"/>
    <n v="4"/>
    <x v="0"/>
    <x v="3"/>
    <x v="0"/>
  </r>
  <r>
    <n v="156"/>
    <x v="5"/>
    <x v="1"/>
    <x v="5"/>
    <s v="Medication and Counseling"/>
    <n v="1000"/>
    <n v="12"/>
    <s v="No"/>
    <x v="1"/>
    <n v="4"/>
    <x v="2"/>
    <x v="3"/>
    <x v="0"/>
  </r>
  <r>
    <n v="157"/>
    <x v="0"/>
    <x v="0"/>
    <x v="6"/>
    <s v="Appendectomy"/>
    <n v="8000"/>
    <n v="14"/>
    <s v="No"/>
    <x v="0"/>
    <n v="3"/>
    <x v="0"/>
    <x v="3"/>
    <x v="1"/>
  </r>
  <r>
    <n v="158"/>
    <x v="7"/>
    <x v="1"/>
    <x v="7"/>
    <s v="Cast and Physical Therapy"/>
    <n v="3000"/>
    <n v="16"/>
    <s v="No"/>
    <x v="0"/>
    <n v="4"/>
    <x v="0"/>
    <x v="3"/>
    <x v="0"/>
  </r>
  <r>
    <n v="159"/>
    <x v="17"/>
    <x v="0"/>
    <x v="8"/>
    <s v="Cardiac Catheterization"/>
    <n v="18000"/>
    <n v="18"/>
    <s v="Yes"/>
    <x v="1"/>
    <n v="2"/>
    <x v="2"/>
    <x v="3"/>
    <x v="2"/>
  </r>
  <r>
    <n v="160"/>
    <x v="9"/>
    <x v="1"/>
    <x v="9"/>
    <s v="Epinephrine Injection"/>
    <n v="100"/>
    <n v="11"/>
    <s v="No"/>
    <x v="0"/>
    <n v="5"/>
    <x v="1"/>
    <x v="3"/>
    <x v="0"/>
  </r>
  <r>
    <n v="161"/>
    <x v="13"/>
    <x v="0"/>
    <x v="10"/>
    <s v="Antibiotics and Rest"/>
    <n v="800"/>
    <n v="12"/>
    <s v="No"/>
    <x v="1"/>
    <n v="4"/>
    <x v="0"/>
    <x v="3"/>
    <x v="0"/>
  </r>
  <r>
    <n v="162"/>
    <x v="14"/>
    <x v="1"/>
    <x v="11"/>
    <s v="Radiation Therapy"/>
    <n v="20000"/>
    <n v="19"/>
    <s v="No"/>
    <x v="0"/>
    <n v="3"/>
    <x v="0"/>
    <x v="3"/>
    <x v="1"/>
  </r>
  <r>
    <n v="163"/>
    <x v="2"/>
    <x v="0"/>
    <x v="12"/>
    <s v="Delivery and Postnatal Care"/>
    <n v="12000"/>
    <n v="13"/>
    <s v="No"/>
    <x v="0"/>
    <n v="4"/>
    <x v="1"/>
    <x v="3"/>
    <x v="0"/>
  </r>
  <r>
    <n v="164"/>
    <x v="6"/>
    <x v="1"/>
    <x v="13"/>
    <s v="Lithotripsy"/>
    <n v="6000"/>
    <n v="14"/>
    <s v="No"/>
    <x v="0"/>
    <n v="3"/>
    <x v="0"/>
    <x v="3"/>
    <x v="1"/>
  </r>
  <r>
    <n v="165"/>
    <x v="11"/>
    <x v="0"/>
    <x v="14"/>
    <s v="Physical Therapy and Pain Management"/>
    <n v="4000"/>
    <n v="15"/>
    <s v="No"/>
    <x v="1"/>
    <n v="4"/>
    <x v="2"/>
    <x v="3"/>
    <x v="0"/>
  </r>
  <r>
    <n v="166"/>
    <x v="6"/>
    <x v="0"/>
    <x v="0"/>
    <s v="Angioplasty"/>
    <n v="15000"/>
    <n v="16"/>
    <s v="Yes"/>
    <x v="0"/>
    <n v="3"/>
    <x v="0"/>
    <x v="3"/>
    <x v="1"/>
  </r>
  <r>
    <n v="167"/>
    <x v="15"/>
    <x v="1"/>
    <x v="1"/>
    <s v="Insulin Therapy"/>
    <n v="2000"/>
    <n v="14"/>
    <s v="No"/>
    <x v="1"/>
    <n v="4"/>
    <x v="2"/>
    <x v="3"/>
    <x v="0"/>
  </r>
  <r>
    <n v="168"/>
    <x v="16"/>
    <x v="0"/>
    <x v="2"/>
    <s v="X-Ray and Splint"/>
    <n v="500"/>
    <n v="12"/>
    <s v="Yes"/>
    <x v="0"/>
    <n v="5"/>
    <x v="1"/>
    <x v="3"/>
    <x v="0"/>
  </r>
  <r>
    <n v="169"/>
    <x v="17"/>
    <x v="1"/>
    <x v="3"/>
    <s v="CT Scan and Medication"/>
    <n v="10000"/>
    <n v="18"/>
    <s v="No"/>
    <x v="1"/>
    <n v="2"/>
    <x v="2"/>
    <x v="3"/>
    <x v="2"/>
  </r>
  <r>
    <n v="170"/>
    <x v="18"/>
    <x v="0"/>
    <x v="4"/>
    <s v="Surgery and Chemotherapy"/>
    <n v="25000"/>
    <n v="21"/>
    <s v="Yes"/>
    <x v="0"/>
    <n v="4"/>
    <x v="0"/>
    <x v="3"/>
    <x v="0"/>
  </r>
  <r>
    <n v="171"/>
    <x v="19"/>
    <x v="1"/>
    <x v="5"/>
    <s v="Medication and Counseling"/>
    <n v="1000"/>
    <n v="13"/>
    <s v="No"/>
    <x v="1"/>
    <n v="4"/>
    <x v="2"/>
    <x v="3"/>
    <x v="0"/>
  </r>
  <r>
    <n v="172"/>
    <x v="1"/>
    <x v="0"/>
    <x v="6"/>
    <s v="Appendectomy"/>
    <n v="8000"/>
    <n v="15"/>
    <s v="Yes"/>
    <x v="0"/>
    <n v="3"/>
    <x v="0"/>
    <x v="3"/>
    <x v="1"/>
  </r>
  <r>
    <n v="173"/>
    <x v="0"/>
    <x v="1"/>
    <x v="7"/>
    <s v="Cast and Physical Therapy"/>
    <n v="3000"/>
    <n v="17"/>
    <s v="No"/>
    <x v="0"/>
    <n v="4"/>
    <x v="0"/>
    <x v="3"/>
    <x v="0"/>
  </r>
  <r>
    <n v="174"/>
    <x v="3"/>
    <x v="0"/>
    <x v="8"/>
    <s v="Cardiac Catheterization"/>
    <n v="18000"/>
    <n v="19"/>
    <s v="Yes"/>
    <x v="1"/>
    <n v="2"/>
    <x v="2"/>
    <x v="3"/>
    <x v="2"/>
  </r>
  <r>
    <n v="175"/>
    <x v="20"/>
    <x v="1"/>
    <x v="9"/>
    <s v="Epinephrine Injection"/>
    <n v="100"/>
    <n v="12"/>
    <s v="No"/>
    <x v="0"/>
    <n v="5"/>
    <x v="1"/>
    <x v="3"/>
    <x v="0"/>
  </r>
  <r>
    <n v="176"/>
    <x v="13"/>
    <x v="0"/>
    <x v="10"/>
    <s v="Antibiotics and Rest"/>
    <n v="800"/>
    <n v="13"/>
    <s v="No"/>
    <x v="1"/>
    <n v="4"/>
    <x v="0"/>
    <x v="3"/>
    <x v="0"/>
  </r>
  <r>
    <n v="177"/>
    <x v="21"/>
    <x v="1"/>
    <x v="11"/>
    <s v="Radiation Therapy"/>
    <n v="20000"/>
    <n v="20"/>
    <s v="No"/>
    <x v="0"/>
    <n v="3"/>
    <x v="2"/>
    <x v="3"/>
    <x v="1"/>
  </r>
  <r>
    <n v="178"/>
    <x v="16"/>
    <x v="0"/>
    <x v="12"/>
    <s v="Delivery and Postnatal Care"/>
    <n v="12000"/>
    <n v="14"/>
    <s v="No"/>
    <x v="0"/>
    <n v="4"/>
    <x v="1"/>
    <x v="3"/>
    <x v="0"/>
  </r>
  <r>
    <n v="179"/>
    <x v="4"/>
    <x v="1"/>
    <x v="13"/>
    <s v="Lithotripsy"/>
    <n v="6000"/>
    <n v="15"/>
    <s v="No"/>
    <x v="0"/>
    <n v="3"/>
    <x v="0"/>
    <x v="3"/>
    <x v="1"/>
  </r>
  <r>
    <n v="180"/>
    <x v="1"/>
    <x v="0"/>
    <x v="14"/>
    <s v="Physical Therapy and Pain Management"/>
    <n v="4000"/>
    <n v="16"/>
    <s v="No"/>
    <x v="1"/>
    <n v="4"/>
    <x v="0"/>
    <x v="3"/>
    <x v="0"/>
  </r>
  <r>
    <n v="181"/>
    <x v="10"/>
    <x v="0"/>
    <x v="0"/>
    <s v="Angioplasty"/>
    <n v="15000"/>
    <n v="17"/>
    <s v="Yes"/>
    <x v="0"/>
    <n v="4"/>
    <x v="0"/>
    <x v="3"/>
    <x v="0"/>
  </r>
  <r>
    <n v="183"/>
    <x v="12"/>
    <x v="0"/>
    <x v="2"/>
    <s v="X-Ray and Splint"/>
    <n v="500"/>
    <n v="13"/>
    <s v="No"/>
    <x v="0"/>
    <n v="5"/>
    <x v="1"/>
    <x v="3"/>
    <x v="0"/>
  </r>
  <r>
    <n v="184"/>
    <x v="8"/>
    <x v="1"/>
    <x v="3"/>
    <s v="CT Scan and Medication"/>
    <n v="10000"/>
    <n v="19"/>
    <s v="Yes"/>
    <x v="1"/>
    <n v="2"/>
    <x v="2"/>
    <x v="3"/>
    <x v="2"/>
  </r>
  <r>
    <n v="185"/>
    <x v="6"/>
    <x v="0"/>
    <x v="4"/>
    <s v="Surgery and Chemotherapy"/>
    <n v="25000"/>
    <n v="22"/>
    <s v="No"/>
    <x v="0"/>
    <n v="4"/>
    <x v="0"/>
    <x v="3"/>
    <x v="0"/>
  </r>
  <r>
    <n v="186"/>
    <x v="5"/>
    <x v="1"/>
    <x v="5"/>
    <s v="Medication and Counseling"/>
    <n v="1000"/>
    <n v="14"/>
    <s v="No"/>
    <x v="1"/>
    <n v="4"/>
    <x v="2"/>
    <x v="3"/>
    <x v="0"/>
  </r>
  <r>
    <n v="187"/>
    <x v="0"/>
    <x v="0"/>
    <x v="6"/>
    <s v="Appendectomy"/>
    <n v="8000"/>
    <n v="16"/>
    <s v="No"/>
    <x v="0"/>
    <n v="3"/>
    <x v="0"/>
    <x v="3"/>
    <x v="1"/>
  </r>
  <r>
    <n v="188"/>
    <x v="7"/>
    <x v="1"/>
    <x v="7"/>
    <s v="Cast and Physical Therapy"/>
    <n v="3000"/>
    <n v="18"/>
    <s v="No"/>
    <x v="0"/>
    <n v="4"/>
    <x v="0"/>
    <x v="3"/>
    <x v="0"/>
  </r>
  <r>
    <n v="189"/>
    <x v="17"/>
    <x v="0"/>
    <x v="8"/>
    <s v="Cardiac Catheterization"/>
    <n v="18000"/>
    <n v="20"/>
    <s v="Yes"/>
    <x v="1"/>
    <n v="2"/>
    <x v="2"/>
    <x v="3"/>
    <x v="2"/>
  </r>
  <r>
    <n v="190"/>
    <x v="9"/>
    <x v="1"/>
    <x v="9"/>
    <s v="Epinephrine Injection"/>
    <n v="100"/>
    <n v="13"/>
    <s v="No"/>
    <x v="0"/>
    <n v="5"/>
    <x v="1"/>
    <x v="3"/>
    <x v="0"/>
  </r>
  <r>
    <n v="191"/>
    <x v="13"/>
    <x v="0"/>
    <x v="10"/>
    <s v="Antibiotics and Rest"/>
    <n v="800"/>
    <n v="14"/>
    <s v="No"/>
    <x v="1"/>
    <n v="4"/>
    <x v="0"/>
    <x v="3"/>
    <x v="0"/>
  </r>
  <r>
    <n v="192"/>
    <x v="14"/>
    <x v="1"/>
    <x v="11"/>
    <s v="Radiation Therapy"/>
    <n v="20000"/>
    <n v="21"/>
    <s v="No"/>
    <x v="0"/>
    <n v="3"/>
    <x v="0"/>
    <x v="3"/>
    <x v="1"/>
  </r>
  <r>
    <n v="193"/>
    <x v="2"/>
    <x v="0"/>
    <x v="12"/>
    <s v="Delivery and Postnatal Care"/>
    <n v="12000"/>
    <n v="15"/>
    <s v="No"/>
    <x v="0"/>
    <n v="4"/>
    <x v="1"/>
    <x v="3"/>
    <x v="0"/>
  </r>
  <r>
    <n v="194"/>
    <x v="6"/>
    <x v="1"/>
    <x v="13"/>
    <s v="Lithotripsy"/>
    <n v="6000"/>
    <n v="16"/>
    <s v="No"/>
    <x v="0"/>
    <n v="3"/>
    <x v="0"/>
    <x v="3"/>
    <x v="1"/>
  </r>
  <r>
    <n v="195"/>
    <x v="11"/>
    <x v="0"/>
    <x v="14"/>
    <s v="Physical Therapy and Pain Management"/>
    <n v="4000"/>
    <n v="17"/>
    <s v="No"/>
    <x v="1"/>
    <n v="4"/>
    <x v="2"/>
    <x v="3"/>
    <x v="0"/>
  </r>
  <r>
    <n v="196"/>
    <x v="6"/>
    <x v="0"/>
    <x v="0"/>
    <s v="Angioplasty"/>
    <n v="15000"/>
    <n v="18"/>
    <s v="Yes"/>
    <x v="0"/>
    <n v="3"/>
    <x v="0"/>
    <x v="3"/>
    <x v="1"/>
  </r>
  <r>
    <n v="197"/>
    <x v="15"/>
    <x v="1"/>
    <x v="1"/>
    <s v="Insulin Therapy"/>
    <n v="2000"/>
    <n v="16"/>
    <s v="No"/>
    <x v="1"/>
    <n v="4"/>
    <x v="2"/>
    <x v="3"/>
    <x v="0"/>
  </r>
  <r>
    <n v="198"/>
    <x v="16"/>
    <x v="0"/>
    <x v="2"/>
    <s v="X-Ray and Splint"/>
    <n v="500"/>
    <n v="14"/>
    <s v="Yes"/>
    <x v="0"/>
    <n v="5"/>
    <x v="1"/>
    <x v="3"/>
    <x v="0"/>
  </r>
  <r>
    <n v="199"/>
    <x v="17"/>
    <x v="1"/>
    <x v="3"/>
    <s v="CT Scan and Medication"/>
    <n v="10000"/>
    <n v="20"/>
    <s v="No"/>
    <x v="1"/>
    <n v="2"/>
    <x v="2"/>
    <x v="3"/>
    <x v="2"/>
  </r>
  <r>
    <n v="200"/>
    <x v="18"/>
    <x v="0"/>
    <x v="4"/>
    <s v="Surgery and Chemotherapy"/>
    <n v="25000"/>
    <n v="23"/>
    <s v="Yes"/>
    <x v="0"/>
    <n v="4"/>
    <x v="0"/>
    <x v="3"/>
    <x v="0"/>
  </r>
  <r>
    <n v="201"/>
    <x v="19"/>
    <x v="1"/>
    <x v="5"/>
    <s v="Medication and Counseling"/>
    <n v="1000"/>
    <n v="15"/>
    <s v="No"/>
    <x v="1"/>
    <n v="4"/>
    <x v="2"/>
    <x v="3"/>
    <x v="0"/>
  </r>
  <r>
    <n v="202"/>
    <x v="1"/>
    <x v="0"/>
    <x v="6"/>
    <s v="Appendectomy"/>
    <n v="8000"/>
    <n v="17"/>
    <s v="Yes"/>
    <x v="0"/>
    <n v="3"/>
    <x v="0"/>
    <x v="3"/>
    <x v="1"/>
  </r>
  <r>
    <n v="203"/>
    <x v="0"/>
    <x v="1"/>
    <x v="7"/>
    <s v="Cast and Physical Therapy"/>
    <n v="3000"/>
    <n v="19"/>
    <s v="No"/>
    <x v="0"/>
    <n v="4"/>
    <x v="0"/>
    <x v="3"/>
    <x v="0"/>
  </r>
  <r>
    <n v="204"/>
    <x v="3"/>
    <x v="0"/>
    <x v="8"/>
    <s v="Cardiac Catheterization"/>
    <n v="18000"/>
    <n v="21"/>
    <s v="Yes"/>
    <x v="1"/>
    <n v="2"/>
    <x v="2"/>
    <x v="3"/>
    <x v="2"/>
  </r>
  <r>
    <n v="205"/>
    <x v="20"/>
    <x v="1"/>
    <x v="9"/>
    <s v="Epinephrine Injection"/>
    <n v="100"/>
    <n v="14"/>
    <s v="No"/>
    <x v="0"/>
    <n v="5"/>
    <x v="1"/>
    <x v="3"/>
    <x v="0"/>
  </r>
  <r>
    <n v="206"/>
    <x v="13"/>
    <x v="0"/>
    <x v="10"/>
    <s v="Antibiotics and Rest"/>
    <n v="800"/>
    <n v="15"/>
    <s v="No"/>
    <x v="1"/>
    <n v="4"/>
    <x v="0"/>
    <x v="3"/>
    <x v="0"/>
  </r>
  <r>
    <n v="207"/>
    <x v="21"/>
    <x v="1"/>
    <x v="11"/>
    <s v="Radiation Therapy"/>
    <n v="20000"/>
    <n v="22"/>
    <s v="No"/>
    <x v="0"/>
    <n v="3"/>
    <x v="2"/>
    <x v="3"/>
    <x v="1"/>
  </r>
  <r>
    <n v="208"/>
    <x v="16"/>
    <x v="0"/>
    <x v="12"/>
    <s v="Delivery and Postnatal Care"/>
    <n v="12000"/>
    <n v="16"/>
    <s v="No"/>
    <x v="0"/>
    <n v="4"/>
    <x v="1"/>
    <x v="3"/>
    <x v="0"/>
  </r>
  <r>
    <n v="209"/>
    <x v="4"/>
    <x v="1"/>
    <x v="13"/>
    <s v="Lithotripsy"/>
    <n v="6000"/>
    <n v="17"/>
    <s v="No"/>
    <x v="0"/>
    <n v="3"/>
    <x v="0"/>
    <x v="3"/>
    <x v="1"/>
  </r>
  <r>
    <n v="210"/>
    <x v="1"/>
    <x v="0"/>
    <x v="14"/>
    <s v="Physical Therapy and Pain Management"/>
    <n v="4000"/>
    <n v="18"/>
    <s v="No"/>
    <x v="1"/>
    <n v="4"/>
    <x v="0"/>
    <x v="3"/>
    <x v="0"/>
  </r>
  <r>
    <n v="211"/>
    <x v="10"/>
    <x v="0"/>
    <x v="0"/>
    <s v="Angioplasty"/>
    <n v="15000"/>
    <n v="19"/>
    <s v="Yes"/>
    <x v="0"/>
    <n v="4"/>
    <x v="0"/>
    <x v="3"/>
    <x v="0"/>
  </r>
  <r>
    <n v="212"/>
    <x v="11"/>
    <x v="1"/>
    <x v="1"/>
    <s v="Insulin Therapy"/>
    <n v="2000"/>
    <n v="17"/>
    <s v="No"/>
    <x v="1"/>
    <n v="3"/>
    <x v="2"/>
    <x v="3"/>
    <x v="1"/>
  </r>
  <r>
    <n v="213"/>
    <x v="12"/>
    <x v="0"/>
    <x v="2"/>
    <s v="X-Ray and Splint"/>
    <n v="500"/>
    <n v="15"/>
    <s v="No"/>
    <x v="0"/>
    <n v="5"/>
    <x v="1"/>
    <x v="3"/>
    <x v="0"/>
  </r>
  <r>
    <n v="214"/>
    <x v="8"/>
    <x v="1"/>
    <x v="3"/>
    <s v="CT Scan and Medication"/>
    <n v="10000"/>
    <n v="21"/>
    <s v="Yes"/>
    <x v="1"/>
    <n v="2"/>
    <x v="2"/>
    <x v="3"/>
    <x v="2"/>
  </r>
  <r>
    <n v="215"/>
    <x v="6"/>
    <x v="0"/>
    <x v="4"/>
    <s v="Surgery and Chemotherapy"/>
    <n v="25000"/>
    <n v="24"/>
    <s v="No"/>
    <x v="0"/>
    <n v="4"/>
    <x v="0"/>
    <x v="3"/>
    <x v="0"/>
  </r>
  <r>
    <n v="216"/>
    <x v="5"/>
    <x v="1"/>
    <x v="5"/>
    <s v="Medication and Counseling"/>
    <n v="1000"/>
    <n v="16"/>
    <s v="No"/>
    <x v="1"/>
    <n v="4"/>
    <x v="2"/>
    <x v="3"/>
    <x v="0"/>
  </r>
  <r>
    <n v="217"/>
    <x v="0"/>
    <x v="0"/>
    <x v="6"/>
    <s v="Appendectomy"/>
    <n v="8000"/>
    <n v="18"/>
    <s v="No"/>
    <x v="0"/>
    <n v="3"/>
    <x v="0"/>
    <x v="3"/>
    <x v="1"/>
  </r>
  <r>
    <n v="218"/>
    <x v="7"/>
    <x v="1"/>
    <x v="7"/>
    <s v="Cast and Physical Therapy"/>
    <n v="3000"/>
    <n v="20"/>
    <s v="No"/>
    <x v="0"/>
    <n v="4"/>
    <x v="0"/>
    <x v="3"/>
    <x v="0"/>
  </r>
  <r>
    <n v="219"/>
    <x v="17"/>
    <x v="0"/>
    <x v="8"/>
    <s v="Cardiac Catheterization"/>
    <n v="18000"/>
    <n v="22"/>
    <s v="Yes"/>
    <x v="1"/>
    <n v="2"/>
    <x v="2"/>
    <x v="3"/>
    <x v="2"/>
  </r>
  <r>
    <n v="220"/>
    <x v="9"/>
    <x v="1"/>
    <x v="9"/>
    <s v="Epinephrine Injection"/>
    <n v="100"/>
    <n v="15"/>
    <s v="No"/>
    <x v="0"/>
    <n v="5"/>
    <x v="1"/>
    <x v="3"/>
    <x v="0"/>
  </r>
  <r>
    <n v="221"/>
    <x v="13"/>
    <x v="0"/>
    <x v="10"/>
    <s v="Antibiotics and Rest"/>
    <n v="800"/>
    <n v="16"/>
    <s v="No"/>
    <x v="1"/>
    <n v="4"/>
    <x v="0"/>
    <x v="3"/>
    <x v="0"/>
  </r>
  <r>
    <n v="222"/>
    <x v="14"/>
    <x v="1"/>
    <x v="11"/>
    <s v="Radiation Therapy"/>
    <n v="20000"/>
    <n v="23"/>
    <s v="No"/>
    <x v="0"/>
    <n v="3"/>
    <x v="0"/>
    <x v="3"/>
    <x v="1"/>
  </r>
  <r>
    <n v="223"/>
    <x v="2"/>
    <x v="0"/>
    <x v="12"/>
    <s v="Delivery and Postnatal Care"/>
    <n v="12000"/>
    <n v="17"/>
    <s v="No"/>
    <x v="0"/>
    <n v="4"/>
    <x v="1"/>
    <x v="3"/>
    <x v="0"/>
  </r>
  <r>
    <n v="224"/>
    <x v="6"/>
    <x v="1"/>
    <x v="13"/>
    <s v="Lithotripsy"/>
    <n v="6000"/>
    <n v="18"/>
    <s v="No"/>
    <x v="0"/>
    <n v="3"/>
    <x v="0"/>
    <x v="3"/>
    <x v="1"/>
  </r>
  <r>
    <n v="225"/>
    <x v="11"/>
    <x v="0"/>
    <x v="14"/>
    <s v="Physical Therapy and Pain Management"/>
    <n v="4000"/>
    <n v="19"/>
    <s v="No"/>
    <x v="1"/>
    <n v="4"/>
    <x v="2"/>
    <x v="3"/>
    <x v="0"/>
  </r>
  <r>
    <n v="226"/>
    <x v="6"/>
    <x v="0"/>
    <x v="0"/>
    <s v="Angioplasty"/>
    <n v="15000"/>
    <n v="20"/>
    <s v="Yes"/>
    <x v="0"/>
    <n v="3"/>
    <x v="0"/>
    <x v="3"/>
    <x v="1"/>
  </r>
  <r>
    <n v="227"/>
    <x v="15"/>
    <x v="1"/>
    <x v="1"/>
    <s v="Insulin Therapy"/>
    <n v="2000"/>
    <n v="18"/>
    <s v="No"/>
    <x v="1"/>
    <n v="4"/>
    <x v="2"/>
    <x v="3"/>
    <x v="0"/>
  </r>
  <r>
    <n v="228"/>
    <x v="16"/>
    <x v="0"/>
    <x v="2"/>
    <s v="X-Ray and Splint"/>
    <n v="500"/>
    <n v="16"/>
    <s v="Yes"/>
    <x v="0"/>
    <n v="5"/>
    <x v="1"/>
    <x v="3"/>
    <x v="0"/>
  </r>
  <r>
    <n v="229"/>
    <x v="17"/>
    <x v="1"/>
    <x v="3"/>
    <s v="CT Scan and Medication"/>
    <n v="10000"/>
    <n v="22"/>
    <s v="No"/>
    <x v="1"/>
    <n v="2"/>
    <x v="2"/>
    <x v="3"/>
    <x v="2"/>
  </r>
  <r>
    <n v="230"/>
    <x v="18"/>
    <x v="0"/>
    <x v="4"/>
    <s v="Surgery and Chemotherapy"/>
    <n v="25000"/>
    <n v="25"/>
    <s v="Yes"/>
    <x v="0"/>
    <n v="4"/>
    <x v="0"/>
    <x v="3"/>
    <x v="0"/>
  </r>
  <r>
    <n v="231"/>
    <x v="19"/>
    <x v="1"/>
    <x v="5"/>
    <s v="Medication and Counseling"/>
    <n v="1000"/>
    <n v="17"/>
    <s v="No"/>
    <x v="1"/>
    <n v="4"/>
    <x v="2"/>
    <x v="3"/>
    <x v="0"/>
  </r>
  <r>
    <n v="232"/>
    <x v="1"/>
    <x v="0"/>
    <x v="6"/>
    <s v="Appendectomy"/>
    <n v="8000"/>
    <n v="19"/>
    <s v="Yes"/>
    <x v="0"/>
    <n v="3"/>
    <x v="0"/>
    <x v="3"/>
    <x v="1"/>
  </r>
  <r>
    <n v="233"/>
    <x v="0"/>
    <x v="1"/>
    <x v="7"/>
    <s v="Cast and Physical Therapy"/>
    <n v="3000"/>
    <n v="21"/>
    <s v="No"/>
    <x v="0"/>
    <n v="4"/>
    <x v="0"/>
    <x v="3"/>
    <x v="0"/>
  </r>
  <r>
    <n v="234"/>
    <x v="3"/>
    <x v="0"/>
    <x v="8"/>
    <s v="Cardiac Catheterization"/>
    <n v="18000"/>
    <n v="23"/>
    <s v="Yes"/>
    <x v="1"/>
    <n v="2"/>
    <x v="2"/>
    <x v="3"/>
    <x v="2"/>
  </r>
  <r>
    <n v="235"/>
    <x v="20"/>
    <x v="1"/>
    <x v="9"/>
    <s v="Epinephrine Injection"/>
    <n v="100"/>
    <n v="16"/>
    <s v="No"/>
    <x v="0"/>
    <n v="5"/>
    <x v="1"/>
    <x v="3"/>
    <x v="0"/>
  </r>
  <r>
    <n v="236"/>
    <x v="13"/>
    <x v="0"/>
    <x v="10"/>
    <s v="Antibiotics and Rest"/>
    <n v="800"/>
    <n v="17"/>
    <s v="No"/>
    <x v="1"/>
    <n v="4"/>
    <x v="0"/>
    <x v="3"/>
    <x v="0"/>
  </r>
  <r>
    <n v="237"/>
    <x v="21"/>
    <x v="1"/>
    <x v="11"/>
    <s v="Radiation Therapy"/>
    <n v="20000"/>
    <n v="24"/>
    <s v="No"/>
    <x v="0"/>
    <n v="3"/>
    <x v="2"/>
    <x v="3"/>
    <x v="1"/>
  </r>
  <r>
    <n v="238"/>
    <x v="16"/>
    <x v="0"/>
    <x v="12"/>
    <s v="Delivery and Postnatal Care"/>
    <n v="12000"/>
    <n v="18"/>
    <s v="No"/>
    <x v="0"/>
    <n v="4"/>
    <x v="1"/>
    <x v="3"/>
    <x v="0"/>
  </r>
  <r>
    <n v="239"/>
    <x v="4"/>
    <x v="1"/>
    <x v="13"/>
    <s v="Lithotripsy"/>
    <n v="6000"/>
    <n v="19"/>
    <s v="No"/>
    <x v="0"/>
    <n v="3"/>
    <x v="0"/>
    <x v="3"/>
    <x v="1"/>
  </r>
  <r>
    <n v="240"/>
    <x v="1"/>
    <x v="0"/>
    <x v="14"/>
    <s v="Physical Therapy and Pain Management"/>
    <n v="4000"/>
    <n v="20"/>
    <s v="No"/>
    <x v="1"/>
    <n v="4"/>
    <x v="0"/>
    <x v="3"/>
    <x v="0"/>
  </r>
  <r>
    <n v="241"/>
    <x v="10"/>
    <x v="0"/>
    <x v="0"/>
    <s v="Angioplasty"/>
    <n v="15000"/>
    <n v="21"/>
    <s v="Yes"/>
    <x v="0"/>
    <n v="4"/>
    <x v="0"/>
    <x v="3"/>
    <x v="0"/>
  </r>
  <r>
    <n v="242"/>
    <x v="11"/>
    <x v="1"/>
    <x v="1"/>
    <s v="Insulin Therapy"/>
    <n v="2000"/>
    <n v="19"/>
    <s v="No"/>
    <x v="1"/>
    <n v="3"/>
    <x v="2"/>
    <x v="3"/>
    <x v="1"/>
  </r>
  <r>
    <n v="244"/>
    <x v="8"/>
    <x v="1"/>
    <x v="3"/>
    <s v="CT Scan and Medication"/>
    <n v="10000"/>
    <n v="23"/>
    <s v="Yes"/>
    <x v="1"/>
    <n v="2"/>
    <x v="2"/>
    <x v="3"/>
    <x v="2"/>
  </r>
  <r>
    <n v="245"/>
    <x v="6"/>
    <x v="0"/>
    <x v="4"/>
    <s v="Surgery and Chemotherapy"/>
    <n v="25000"/>
    <n v="26"/>
    <s v="No"/>
    <x v="0"/>
    <n v="4"/>
    <x v="0"/>
    <x v="3"/>
    <x v="0"/>
  </r>
  <r>
    <n v="246"/>
    <x v="5"/>
    <x v="1"/>
    <x v="5"/>
    <s v="Medication and Counseling"/>
    <n v="1000"/>
    <n v="18"/>
    <s v="No"/>
    <x v="1"/>
    <n v="4"/>
    <x v="2"/>
    <x v="3"/>
    <x v="0"/>
  </r>
  <r>
    <n v="247"/>
    <x v="0"/>
    <x v="0"/>
    <x v="6"/>
    <s v="Appendectomy"/>
    <n v="8000"/>
    <n v="20"/>
    <s v="No"/>
    <x v="0"/>
    <n v="3"/>
    <x v="0"/>
    <x v="3"/>
    <x v="1"/>
  </r>
  <r>
    <n v="248"/>
    <x v="7"/>
    <x v="1"/>
    <x v="7"/>
    <s v="Cast and Physical Therapy"/>
    <n v="3000"/>
    <n v="22"/>
    <s v="No"/>
    <x v="0"/>
    <n v="4"/>
    <x v="0"/>
    <x v="3"/>
    <x v="0"/>
  </r>
  <r>
    <n v="249"/>
    <x v="17"/>
    <x v="0"/>
    <x v="8"/>
    <s v="Cardiac Catheterization"/>
    <n v="18000"/>
    <n v="24"/>
    <s v="Yes"/>
    <x v="1"/>
    <n v="2"/>
    <x v="2"/>
    <x v="3"/>
    <x v="2"/>
  </r>
  <r>
    <n v="250"/>
    <x v="9"/>
    <x v="1"/>
    <x v="9"/>
    <s v="Epinephrine Injection"/>
    <n v="100"/>
    <n v="17"/>
    <s v="No"/>
    <x v="0"/>
    <n v="5"/>
    <x v="1"/>
    <x v="3"/>
    <x v="0"/>
  </r>
  <r>
    <n v="251"/>
    <x v="13"/>
    <x v="0"/>
    <x v="10"/>
    <s v="Antibiotics and Rest"/>
    <n v="800"/>
    <n v="18"/>
    <s v="No"/>
    <x v="1"/>
    <n v="4"/>
    <x v="0"/>
    <x v="3"/>
    <x v="0"/>
  </r>
  <r>
    <n v="252"/>
    <x v="14"/>
    <x v="1"/>
    <x v="11"/>
    <s v="Radiation Therapy"/>
    <n v="20000"/>
    <n v="25"/>
    <s v="No"/>
    <x v="0"/>
    <n v="3"/>
    <x v="0"/>
    <x v="3"/>
    <x v="1"/>
  </r>
  <r>
    <n v="253"/>
    <x v="2"/>
    <x v="0"/>
    <x v="12"/>
    <s v="Delivery and Postnatal Care"/>
    <n v="12000"/>
    <n v="19"/>
    <s v="No"/>
    <x v="0"/>
    <n v="4"/>
    <x v="1"/>
    <x v="3"/>
    <x v="0"/>
  </r>
  <r>
    <n v="254"/>
    <x v="6"/>
    <x v="1"/>
    <x v="13"/>
    <s v="Lithotripsy"/>
    <n v="6000"/>
    <n v="20"/>
    <s v="No"/>
    <x v="0"/>
    <n v="3"/>
    <x v="0"/>
    <x v="3"/>
    <x v="1"/>
  </r>
  <r>
    <n v="255"/>
    <x v="11"/>
    <x v="0"/>
    <x v="14"/>
    <s v="Physical Therapy and Pain Management"/>
    <n v="4000"/>
    <n v="21"/>
    <s v="No"/>
    <x v="1"/>
    <n v="4"/>
    <x v="2"/>
    <x v="3"/>
    <x v="0"/>
  </r>
  <r>
    <n v="256"/>
    <x v="6"/>
    <x v="0"/>
    <x v="0"/>
    <s v="Angioplasty"/>
    <n v="15000"/>
    <n v="22"/>
    <s v="Yes"/>
    <x v="0"/>
    <n v="3"/>
    <x v="0"/>
    <x v="3"/>
    <x v="1"/>
  </r>
  <r>
    <n v="257"/>
    <x v="15"/>
    <x v="1"/>
    <x v="1"/>
    <s v="Insulin Therapy"/>
    <n v="2000"/>
    <n v="20"/>
    <s v="No"/>
    <x v="1"/>
    <n v="4"/>
    <x v="2"/>
    <x v="3"/>
    <x v="0"/>
  </r>
  <r>
    <n v="258"/>
    <x v="16"/>
    <x v="0"/>
    <x v="2"/>
    <s v="X-Ray and Splint"/>
    <n v="500"/>
    <n v="18"/>
    <s v="Yes"/>
    <x v="0"/>
    <n v="5"/>
    <x v="1"/>
    <x v="3"/>
    <x v="0"/>
  </r>
  <r>
    <n v="259"/>
    <x v="17"/>
    <x v="1"/>
    <x v="3"/>
    <s v="CT Scan and Medication"/>
    <n v="10000"/>
    <n v="24"/>
    <s v="No"/>
    <x v="1"/>
    <n v="2"/>
    <x v="2"/>
    <x v="3"/>
    <x v="2"/>
  </r>
  <r>
    <n v="260"/>
    <x v="18"/>
    <x v="0"/>
    <x v="4"/>
    <s v="Surgery and Chemotherapy"/>
    <n v="25000"/>
    <n v="27"/>
    <s v="Yes"/>
    <x v="0"/>
    <n v="4"/>
    <x v="0"/>
    <x v="3"/>
    <x v="0"/>
  </r>
  <r>
    <n v="261"/>
    <x v="19"/>
    <x v="1"/>
    <x v="5"/>
    <s v="Medication and Counseling"/>
    <n v="1000"/>
    <n v="19"/>
    <s v="No"/>
    <x v="1"/>
    <n v="4"/>
    <x v="2"/>
    <x v="3"/>
    <x v="0"/>
  </r>
  <r>
    <n v="262"/>
    <x v="1"/>
    <x v="0"/>
    <x v="6"/>
    <s v="Appendectomy"/>
    <n v="8000"/>
    <n v="21"/>
    <s v="Yes"/>
    <x v="0"/>
    <n v="3"/>
    <x v="0"/>
    <x v="3"/>
    <x v="1"/>
  </r>
  <r>
    <n v="263"/>
    <x v="0"/>
    <x v="1"/>
    <x v="7"/>
    <s v="Cast and Physical Therapy"/>
    <n v="3000"/>
    <n v="23"/>
    <s v="No"/>
    <x v="0"/>
    <n v="4"/>
    <x v="0"/>
    <x v="3"/>
    <x v="0"/>
  </r>
  <r>
    <n v="264"/>
    <x v="3"/>
    <x v="0"/>
    <x v="8"/>
    <s v="Cardiac Catheterization"/>
    <n v="18000"/>
    <n v="25"/>
    <s v="Yes"/>
    <x v="1"/>
    <n v="2"/>
    <x v="2"/>
    <x v="3"/>
    <x v="2"/>
  </r>
  <r>
    <n v="265"/>
    <x v="20"/>
    <x v="1"/>
    <x v="9"/>
    <s v="Epinephrine Injection"/>
    <n v="100"/>
    <n v="18"/>
    <s v="No"/>
    <x v="0"/>
    <n v="5"/>
    <x v="1"/>
    <x v="3"/>
    <x v="0"/>
  </r>
  <r>
    <n v="266"/>
    <x v="13"/>
    <x v="0"/>
    <x v="10"/>
    <s v="Antibiotics and Rest"/>
    <n v="800"/>
    <n v="19"/>
    <s v="No"/>
    <x v="1"/>
    <n v="4"/>
    <x v="0"/>
    <x v="3"/>
    <x v="0"/>
  </r>
  <r>
    <n v="267"/>
    <x v="21"/>
    <x v="1"/>
    <x v="11"/>
    <s v="Radiation Therapy"/>
    <n v="20000"/>
    <n v="26"/>
    <s v="No"/>
    <x v="0"/>
    <n v="3"/>
    <x v="2"/>
    <x v="3"/>
    <x v="1"/>
  </r>
  <r>
    <n v="268"/>
    <x v="16"/>
    <x v="0"/>
    <x v="12"/>
    <s v="Delivery and Postnatal Care"/>
    <n v="12000"/>
    <n v="20"/>
    <s v="No"/>
    <x v="0"/>
    <n v="4"/>
    <x v="1"/>
    <x v="3"/>
    <x v="0"/>
  </r>
  <r>
    <n v="269"/>
    <x v="4"/>
    <x v="1"/>
    <x v="13"/>
    <s v="Lithotripsy"/>
    <n v="6000"/>
    <n v="21"/>
    <s v="No"/>
    <x v="0"/>
    <n v="3"/>
    <x v="0"/>
    <x v="3"/>
    <x v="1"/>
  </r>
  <r>
    <n v="270"/>
    <x v="1"/>
    <x v="0"/>
    <x v="14"/>
    <s v="Physical Therapy and Pain Management"/>
    <n v="4000"/>
    <n v="22"/>
    <s v="No"/>
    <x v="1"/>
    <n v="4"/>
    <x v="0"/>
    <x v="3"/>
    <x v="0"/>
  </r>
  <r>
    <n v="271"/>
    <x v="10"/>
    <x v="0"/>
    <x v="0"/>
    <s v="Angioplasty"/>
    <n v="15000"/>
    <n v="23"/>
    <s v="Yes"/>
    <x v="0"/>
    <n v="4"/>
    <x v="0"/>
    <x v="3"/>
    <x v="0"/>
  </r>
  <r>
    <n v="272"/>
    <x v="11"/>
    <x v="1"/>
    <x v="1"/>
    <s v="Insulin Therapy"/>
    <n v="2000"/>
    <n v="21"/>
    <s v="No"/>
    <x v="1"/>
    <n v="3"/>
    <x v="2"/>
    <x v="3"/>
    <x v="1"/>
  </r>
  <r>
    <n v="273"/>
    <x v="12"/>
    <x v="0"/>
    <x v="2"/>
    <s v="X-Ray and Splint"/>
    <n v="500"/>
    <n v="19"/>
    <s v="No"/>
    <x v="0"/>
    <n v="5"/>
    <x v="1"/>
    <x v="3"/>
    <x v="0"/>
  </r>
  <r>
    <n v="274"/>
    <x v="8"/>
    <x v="1"/>
    <x v="3"/>
    <s v="CT Scan and Medication"/>
    <n v="10000"/>
    <n v="25"/>
    <s v="Yes"/>
    <x v="1"/>
    <n v="2"/>
    <x v="2"/>
    <x v="3"/>
    <x v="2"/>
  </r>
  <r>
    <n v="275"/>
    <x v="6"/>
    <x v="0"/>
    <x v="4"/>
    <s v="Surgery and Chemotherapy"/>
    <n v="25000"/>
    <n v="28"/>
    <s v="No"/>
    <x v="0"/>
    <n v="4"/>
    <x v="0"/>
    <x v="3"/>
    <x v="0"/>
  </r>
  <r>
    <n v="276"/>
    <x v="5"/>
    <x v="1"/>
    <x v="5"/>
    <s v="Medication and Counseling"/>
    <n v="1000"/>
    <n v="20"/>
    <s v="No"/>
    <x v="1"/>
    <n v="4"/>
    <x v="2"/>
    <x v="3"/>
    <x v="0"/>
  </r>
  <r>
    <n v="277"/>
    <x v="0"/>
    <x v="0"/>
    <x v="6"/>
    <s v="Appendectomy"/>
    <n v="8000"/>
    <n v="22"/>
    <s v="No"/>
    <x v="0"/>
    <n v="3"/>
    <x v="0"/>
    <x v="3"/>
    <x v="1"/>
  </r>
  <r>
    <n v="278"/>
    <x v="7"/>
    <x v="1"/>
    <x v="7"/>
    <s v="Cast and Physical Therapy"/>
    <n v="3000"/>
    <n v="24"/>
    <s v="No"/>
    <x v="0"/>
    <n v="4"/>
    <x v="0"/>
    <x v="3"/>
    <x v="0"/>
  </r>
  <r>
    <n v="279"/>
    <x v="17"/>
    <x v="0"/>
    <x v="8"/>
    <s v="Cardiac Catheterization"/>
    <n v="18000"/>
    <n v="26"/>
    <s v="Yes"/>
    <x v="1"/>
    <n v="2"/>
    <x v="2"/>
    <x v="3"/>
    <x v="2"/>
  </r>
  <r>
    <n v="280"/>
    <x v="9"/>
    <x v="1"/>
    <x v="9"/>
    <s v="Epinephrine Injection"/>
    <n v="100"/>
    <n v="19"/>
    <s v="No"/>
    <x v="0"/>
    <n v="5"/>
    <x v="1"/>
    <x v="3"/>
    <x v="0"/>
  </r>
  <r>
    <n v="281"/>
    <x v="13"/>
    <x v="0"/>
    <x v="10"/>
    <s v="Antibiotics and Rest"/>
    <n v="800"/>
    <n v="20"/>
    <s v="No"/>
    <x v="1"/>
    <n v="4"/>
    <x v="0"/>
    <x v="3"/>
    <x v="0"/>
  </r>
  <r>
    <n v="282"/>
    <x v="14"/>
    <x v="1"/>
    <x v="11"/>
    <s v="Radiation Therapy"/>
    <n v="20000"/>
    <n v="27"/>
    <s v="No"/>
    <x v="0"/>
    <n v="3"/>
    <x v="0"/>
    <x v="3"/>
    <x v="1"/>
  </r>
  <r>
    <n v="283"/>
    <x v="2"/>
    <x v="0"/>
    <x v="12"/>
    <s v="Delivery and Postnatal Care"/>
    <n v="12000"/>
    <n v="21"/>
    <s v="No"/>
    <x v="0"/>
    <n v="4"/>
    <x v="1"/>
    <x v="3"/>
    <x v="0"/>
  </r>
  <r>
    <n v="284"/>
    <x v="6"/>
    <x v="1"/>
    <x v="13"/>
    <s v="Lithotripsy"/>
    <n v="6000"/>
    <n v="22"/>
    <s v="No"/>
    <x v="0"/>
    <n v="3"/>
    <x v="0"/>
    <x v="3"/>
    <x v="1"/>
  </r>
  <r>
    <n v="285"/>
    <x v="11"/>
    <x v="0"/>
    <x v="14"/>
    <s v="Physical Therapy and Pain Management"/>
    <n v="4000"/>
    <n v="23"/>
    <s v="No"/>
    <x v="1"/>
    <n v="4"/>
    <x v="2"/>
    <x v="3"/>
    <x v="0"/>
  </r>
  <r>
    <n v="286"/>
    <x v="6"/>
    <x v="0"/>
    <x v="0"/>
    <s v="Angioplasty"/>
    <n v="15000"/>
    <n v="24"/>
    <s v="Yes"/>
    <x v="0"/>
    <n v="3"/>
    <x v="0"/>
    <x v="3"/>
    <x v="1"/>
  </r>
  <r>
    <n v="287"/>
    <x v="15"/>
    <x v="1"/>
    <x v="1"/>
    <s v="Insulin Therapy"/>
    <n v="2000"/>
    <n v="22"/>
    <s v="No"/>
    <x v="1"/>
    <n v="4"/>
    <x v="2"/>
    <x v="3"/>
    <x v="0"/>
  </r>
  <r>
    <n v="288"/>
    <x v="16"/>
    <x v="0"/>
    <x v="2"/>
    <s v="X-Ray and Splint"/>
    <n v="500"/>
    <n v="20"/>
    <s v="Yes"/>
    <x v="0"/>
    <n v="5"/>
    <x v="1"/>
    <x v="3"/>
    <x v="0"/>
  </r>
  <r>
    <n v="289"/>
    <x v="17"/>
    <x v="1"/>
    <x v="3"/>
    <s v="CT Scan and Medication"/>
    <n v="10000"/>
    <n v="26"/>
    <s v="No"/>
    <x v="1"/>
    <n v="2"/>
    <x v="2"/>
    <x v="3"/>
    <x v="2"/>
  </r>
  <r>
    <n v="290"/>
    <x v="18"/>
    <x v="0"/>
    <x v="4"/>
    <s v="Surgery and Chemotherapy"/>
    <n v="25000"/>
    <n v="29"/>
    <s v="Yes"/>
    <x v="0"/>
    <n v="4"/>
    <x v="0"/>
    <x v="3"/>
    <x v="0"/>
  </r>
  <r>
    <n v="291"/>
    <x v="19"/>
    <x v="1"/>
    <x v="5"/>
    <s v="Medication and Counseling"/>
    <n v="1000"/>
    <n v="21"/>
    <s v="No"/>
    <x v="1"/>
    <n v="4"/>
    <x v="2"/>
    <x v="3"/>
    <x v="0"/>
  </r>
  <r>
    <n v="292"/>
    <x v="1"/>
    <x v="0"/>
    <x v="6"/>
    <s v="Appendectomy"/>
    <n v="8000"/>
    <n v="23"/>
    <s v="Yes"/>
    <x v="0"/>
    <n v="3"/>
    <x v="0"/>
    <x v="3"/>
    <x v="1"/>
  </r>
  <r>
    <n v="293"/>
    <x v="0"/>
    <x v="1"/>
    <x v="7"/>
    <s v="Cast and Physical Therapy"/>
    <n v="3000"/>
    <n v="25"/>
    <s v="No"/>
    <x v="0"/>
    <n v="4"/>
    <x v="0"/>
    <x v="3"/>
    <x v="0"/>
  </r>
  <r>
    <n v="294"/>
    <x v="3"/>
    <x v="0"/>
    <x v="8"/>
    <s v="Cardiac Catheterization"/>
    <n v="18000"/>
    <n v="27"/>
    <s v="Yes"/>
    <x v="1"/>
    <n v="2"/>
    <x v="2"/>
    <x v="3"/>
    <x v="2"/>
  </r>
  <r>
    <n v="296"/>
    <x v="13"/>
    <x v="0"/>
    <x v="10"/>
    <s v="Antibiotics and Rest"/>
    <n v="800"/>
    <n v="21"/>
    <s v="No"/>
    <x v="1"/>
    <n v="4"/>
    <x v="0"/>
    <x v="3"/>
    <x v="0"/>
  </r>
  <r>
    <n v="297"/>
    <x v="21"/>
    <x v="1"/>
    <x v="11"/>
    <s v="Radiation Therapy"/>
    <n v="20000"/>
    <n v="28"/>
    <s v="No"/>
    <x v="0"/>
    <n v="3"/>
    <x v="2"/>
    <x v="3"/>
    <x v="1"/>
  </r>
  <r>
    <n v="298"/>
    <x v="16"/>
    <x v="0"/>
    <x v="12"/>
    <s v="Delivery and Postnatal Care"/>
    <n v="12000"/>
    <n v="22"/>
    <s v="No"/>
    <x v="0"/>
    <n v="4"/>
    <x v="1"/>
    <x v="3"/>
    <x v="0"/>
  </r>
  <r>
    <n v="299"/>
    <x v="4"/>
    <x v="1"/>
    <x v="13"/>
    <s v="Lithotripsy"/>
    <n v="6000"/>
    <n v="23"/>
    <s v="No"/>
    <x v="0"/>
    <n v="3"/>
    <x v="0"/>
    <x v="3"/>
    <x v="1"/>
  </r>
  <r>
    <n v="300"/>
    <x v="1"/>
    <x v="0"/>
    <x v="14"/>
    <s v="Physical Therapy and Pain Management"/>
    <n v="4000"/>
    <n v="24"/>
    <s v="No"/>
    <x v="1"/>
    <n v="4"/>
    <x v="0"/>
    <x v="3"/>
    <x v="0"/>
  </r>
  <r>
    <n v="301"/>
    <x v="10"/>
    <x v="0"/>
    <x v="0"/>
    <s v="Angioplasty"/>
    <n v="15000"/>
    <n v="25"/>
    <s v="Yes"/>
    <x v="0"/>
    <n v="4"/>
    <x v="0"/>
    <x v="3"/>
    <x v="0"/>
  </r>
  <r>
    <n v="302"/>
    <x v="11"/>
    <x v="1"/>
    <x v="1"/>
    <s v="Insulin Therapy"/>
    <n v="2000"/>
    <n v="23"/>
    <s v="No"/>
    <x v="1"/>
    <n v="3"/>
    <x v="2"/>
    <x v="3"/>
    <x v="1"/>
  </r>
  <r>
    <n v="303"/>
    <x v="12"/>
    <x v="0"/>
    <x v="2"/>
    <s v="X-Ray and Splint"/>
    <n v="500"/>
    <n v="21"/>
    <s v="No"/>
    <x v="0"/>
    <n v="5"/>
    <x v="1"/>
    <x v="3"/>
    <x v="0"/>
  </r>
  <r>
    <n v="304"/>
    <x v="8"/>
    <x v="1"/>
    <x v="3"/>
    <s v="CT Scan and Medication"/>
    <n v="10000"/>
    <n v="27"/>
    <s v="Yes"/>
    <x v="1"/>
    <n v="2"/>
    <x v="2"/>
    <x v="3"/>
    <x v="2"/>
  </r>
  <r>
    <n v="305"/>
    <x v="6"/>
    <x v="0"/>
    <x v="4"/>
    <s v="Surgery and Chemotherapy"/>
    <n v="25000"/>
    <n v="30"/>
    <s v="No"/>
    <x v="0"/>
    <n v="4"/>
    <x v="0"/>
    <x v="3"/>
    <x v="0"/>
  </r>
  <r>
    <n v="306"/>
    <x v="5"/>
    <x v="1"/>
    <x v="5"/>
    <s v="Medication and Counseling"/>
    <n v="1000"/>
    <n v="22"/>
    <s v="No"/>
    <x v="1"/>
    <n v="4"/>
    <x v="2"/>
    <x v="3"/>
    <x v="0"/>
  </r>
  <r>
    <n v="307"/>
    <x v="0"/>
    <x v="0"/>
    <x v="6"/>
    <s v="Appendectomy"/>
    <n v="8000"/>
    <n v="24"/>
    <s v="No"/>
    <x v="0"/>
    <n v="3"/>
    <x v="0"/>
    <x v="3"/>
    <x v="1"/>
  </r>
  <r>
    <n v="308"/>
    <x v="7"/>
    <x v="1"/>
    <x v="7"/>
    <s v="Cast and Physical Therapy"/>
    <n v="3000"/>
    <n v="26"/>
    <s v="No"/>
    <x v="0"/>
    <n v="4"/>
    <x v="0"/>
    <x v="3"/>
    <x v="0"/>
  </r>
  <r>
    <n v="309"/>
    <x v="17"/>
    <x v="0"/>
    <x v="8"/>
    <s v="Cardiac Catheterization"/>
    <n v="18000"/>
    <n v="28"/>
    <s v="Yes"/>
    <x v="1"/>
    <n v="2"/>
    <x v="2"/>
    <x v="3"/>
    <x v="2"/>
  </r>
  <r>
    <n v="310"/>
    <x v="9"/>
    <x v="1"/>
    <x v="9"/>
    <s v="Epinephrine Injection"/>
    <n v="100"/>
    <n v="21"/>
    <s v="No"/>
    <x v="0"/>
    <n v="5"/>
    <x v="1"/>
    <x v="3"/>
    <x v="0"/>
  </r>
  <r>
    <n v="311"/>
    <x v="13"/>
    <x v="0"/>
    <x v="10"/>
    <s v="Antibiotics and Rest"/>
    <n v="800"/>
    <n v="22"/>
    <s v="No"/>
    <x v="1"/>
    <n v="4"/>
    <x v="0"/>
    <x v="3"/>
    <x v="0"/>
  </r>
  <r>
    <n v="312"/>
    <x v="14"/>
    <x v="1"/>
    <x v="11"/>
    <s v="Radiation Therapy"/>
    <n v="20000"/>
    <n v="29"/>
    <s v="No"/>
    <x v="0"/>
    <n v="3"/>
    <x v="0"/>
    <x v="3"/>
    <x v="1"/>
  </r>
  <r>
    <n v="313"/>
    <x v="2"/>
    <x v="0"/>
    <x v="12"/>
    <s v="Delivery and Postnatal Care"/>
    <n v="12000"/>
    <n v="23"/>
    <s v="No"/>
    <x v="0"/>
    <n v="4"/>
    <x v="1"/>
    <x v="3"/>
    <x v="0"/>
  </r>
  <r>
    <n v="314"/>
    <x v="6"/>
    <x v="1"/>
    <x v="13"/>
    <s v="Lithotripsy"/>
    <n v="6000"/>
    <n v="24"/>
    <s v="No"/>
    <x v="0"/>
    <n v="3"/>
    <x v="0"/>
    <x v="3"/>
    <x v="1"/>
  </r>
  <r>
    <n v="315"/>
    <x v="11"/>
    <x v="0"/>
    <x v="14"/>
    <s v="Physical Therapy and Pain Management"/>
    <n v="4000"/>
    <n v="25"/>
    <s v="No"/>
    <x v="1"/>
    <n v="4"/>
    <x v="2"/>
    <x v="3"/>
    <x v="0"/>
  </r>
  <r>
    <n v="316"/>
    <x v="6"/>
    <x v="0"/>
    <x v="0"/>
    <s v="Angioplasty"/>
    <n v="15000"/>
    <n v="26"/>
    <s v="Yes"/>
    <x v="0"/>
    <n v="3"/>
    <x v="0"/>
    <x v="3"/>
    <x v="1"/>
  </r>
  <r>
    <n v="317"/>
    <x v="15"/>
    <x v="1"/>
    <x v="1"/>
    <s v="Insulin Therapy"/>
    <n v="2000"/>
    <n v="24"/>
    <s v="No"/>
    <x v="1"/>
    <n v="4"/>
    <x v="2"/>
    <x v="3"/>
    <x v="0"/>
  </r>
  <r>
    <n v="318"/>
    <x v="16"/>
    <x v="0"/>
    <x v="2"/>
    <s v="X-Ray and Splint"/>
    <n v="500"/>
    <n v="22"/>
    <s v="Yes"/>
    <x v="0"/>
    <n v="5"/>
    <x v="1"/>
    <x v="3"/>
    <x v="0"/>
  </r>
  <r>
    <n v="319"/>
    <x v="17"/>
    <x v="1"/>
    <x v="3"/>
    <s v="CT Scan and Medication"/>
    <n v="10000"/>
    <n v="28"/>
    <s v="No"/>
    <x v="1"/>
    <n v="2"/>
    <x v="2"/>
    <x v="3"/>
    <x v="2"/>
  </r>
  <r>
    <n v="320"/>
    <x v="18"/>
    <x v="0"/>
    <x v="4"/>
    <s v="Surgery and Chemotherapy"/>
    <n v="25000"/>
    <n v="31"/>
    <s v="Yes"/>
    <x v="0"/>
    <n v="4"/>
    <x v="0"/>
    <x v="4"/>
    <x v="0"/>
  </r>
  <r>
    <n v="321"/>
    <x v="19"/>
    <x v="1"/>
    <x v="5"/>
    <s v="Medication and Counseling"/>
    <n v="1000"/>
    <n v="23"/>
    <s v="No"/>
    <x v="1"/>
    <n v="4"/>
    <x v="2"/>
    <x v="3"/>
    <x v="0"/>
  </r>
  <r>
    <n v="322"/>
    <x v="1"/>
    <x v="0"/>
    <x v="6"/>
    <s v="Appendectomy"/>
    <n v="8000"/>
    <n v="25"/>
    <s v="Yes"/>
    <x v="0"/>
    <n v="3"/>
    <x v="0"/>
    <x v="3"/>
    <x v="1"/>
  </r>
  <r>
    <n v="323"/>
    <x v="0"/>
    <x v="1"/>
    <x v="7"/>
    <s v="Cast and Physical Therapy"/>
    <n v="3000"/>
    <n v="27"/>
    <s v="No"/>
    <x v="0"/>
    <n v="4"/>
    <x v="0"/>
    <x v="3"/>
    <x v="0"/>
  </r>
  <r>
    <n v="324"/>
    <x v="3"/>
    <x v="0"/>
    <x v="8"/>
    <s v="Cardiac Catheterization"/>
    <n v="18000"/>
    <n v="29"/>
    <s v="Yes"/>
    <x v="1"/>
    <n v="2"/>
    <x v="2"/>
    <x v="3"/>
    <x v="2"/>
  </r>
  <r>
    <n v="325"/>
    <x v="20"/>
    <x v="1"/>
    <x v="9"/>
    <s v="Epinephrine Injection"/>
    <n v="100"/>
    <n v="22"/>
    <s v="No"/>
    <x v="0"/>
    <n v="5"/>
    <x v="1"/>
    <x v="3"/>
    <x v="0"/>
  </r>
  <r>
    <n v="326"/>
    <x v="13"/>
    <x v="0"/>
    <x v="10"/>
    <s v="Antibiotics and Rest"/>
    <n v="800"/>
    <n v="23"/>
    <s v="No"/>
    <x v="1"/>
    <n v="4"/>
    <x v="0"/>
    <x v="3"/>
    <x v="0"/>
  </r>
  <r>
    <n v="327"/>
    <x v="21"/>
    <x v="1"/>
    <x v="11"/>
    <s v="Radiation Therapy"/>
    <n v="20000"/>
    <n v="30"/>
    <s v="No"/>
    <x v="0"/>
    <n v="3"/>
    <x v="2"/>
    <x v="3"/>
    <x v="1"/>
  </r>
  <r>
    <n v="328"/>
    <x v="16"/>
    <x v="0"/>
    <x v="12"/>
    <s v="Delivery and Postnatal Care"/>
    <n v="12000"/>
    <n v="24"/>
    <s v="No"/>
    <x v="0"/>
    <n v="4"/>
    <x v="1"/>
    <x v="3"/>
    <x v="0"/>
  </r>
  <r>
    <n v="329"/>
    <x v="4"/>
    <x v="1"/>
    <x v="13"/>
    <s v="Lithotripsy"/>
    <n v="6000"/>
    <n v="25"/>
    <s v="No"/>
    <x v="0"/>
    <n v="3"/>
    <x v="0"/>
    <x v="3"/>
    <x v="1"/>
  </r>
  <r>
    <n v="330"/>
    <x v="1"/>
    <x v="0"/>
    <x v="14"/>
    <s v="Physical Therapy and Pain Management"/>
    <n v="4000"/>
    <n v="26"/>
    <s v="No"/>
    <x v="1"/>
    <n v="4"/>
    <x v="0"/>
    <x v="3"/>
    <x v="0"/>
  </r>
  <r>
    <n v="331"/>
    <x v="10"/>
    <x v="0"/>
    <x v="0"/>
    <s v="Angioplasty"/>
    <n v="15000"/>
    <n v="27"/>
    <s v="Yes"/>
    <x v="0"/>
    <n v="4"/>
    <x v="0"/>
    <x v="3"/>
    <x v="0"/>
  </r>
  <r>
    <n v="332"/>
    <x v="11"/>
    <x v="1"/>
    <x v="1"/>
    <s v="Insulin Therapy"/>
    <n v="2000"/>
    <n v="25"/>
    <s v="No"/>
    <x v="1"/>
    <n v="3"/>
    <x v="2"/>
    <x v="3"/>
    <x v="1"/>
  </r>
  <r>
    <n v="333"/>
    <x v="12"/>
    <x v="0"/>
    <x v="2"/>
    <s v="X-Ray and Splint"/>
    <n v="500"/>
    <n v="23"/>
    <s v="No"/>
    <x v="0"/>
    <n v="5"/>
    <x v="1"/>
    <x v="3"/>
    <x v="0"/>
  </r>
  <r>
    <n v="334"/>
    <x v="8"/>
    <x v="1"/>
    <x v="3"/>
    <s v="CT Scan and Medication"/>
    <n v="10000"/>
    <n v="29"/>
    <s v="Yes"/>
    <x v="1"/>
    <n v="2"/>
    <x v="2"/>
    <x v="3"/>
    <x v="2"/>
  </r>
  <r>
    <n v="335"/>
    <x v="6"/>
    <x v="0"/>
    <x v="4"/>
    <s v="Surgery and Chemotherapy"/>
    <n v="25000"/>
    <n v="32"/>
    <s v="No"/>
    <x v="0"/>
    <n v="4"/>
    <x v="0"/>
    <x v="4"/>
    <x v="0"/>
  </r>
  <r>
    <n v="336"/>
    <x v="5"/>
    <x v="1"/>
    <x v="5"/>
    <s v="Medication and Counseling"/>
    <n v="1000"/>
    <n v="24"/>
    <s v="No"/>
    <x v="1"/>
    <n v="4"/>
    <x v="2"/>
    <x v="3"/>
    <x v="0"/>
  </r>
  <r>
    <n v="337"/>
    <x v="0"/>
    <x v="0"/>
    <x v="6"/>
    <s v="Appendectomy"/>
    <n v="8000"/>
    <n v="26"/>
    <s v="No"/>
    <x v="0"/>
    <n v="3"/>
    <x v="0"/>
    <x v="3"/>
    <x v="1"/>
  </r>
  <r>
    <n v="338"/>
    <x v="7"/>
    <x v="1"/>
    <x v="7"/>
    <s v="Cast and Physical Therapy"/>
    <n v="3000"/>
    <n v="28"/>
    <s v="No"/>
    <x v="0"/>
    <n v="4"/>
    <x v="0"/>
    <x v="3"/>
    <x v="0"/>
  </r>
  <r>
    <n v="339"/>
    <x v="17"/>
    <x v="0"/>
    <x v="8"/>
    <s v="Cardiac Catheterization"/>
    <n v="18000"/>
    <n v="30"/>
    <s v="Yes"/>
    <x v="1"/>
    <n v="2"/>
    <x v="2"/>
    <x v="3"/>
    <x v="2"/>
  </r>
  <r>
    <n v="340"/>
    <x v="9"/>
    <x v="1"/>
    <x v="9"/>
    <s v="Epinephrine Injection"/>
    <n v="100"/>
    <n v="23"/>
    <s v="No"/>
    <x v="0"/>
    <n v="5"/>
    <x v="1"/>
    <x v="3"/>
    <x v="0"/>
  </r>
  <r>
    <n v="341"/>
    <x v="13"/>
    <x v="0"/>
    <x v="10"/>
    <s v="Antibiotics and Rest"/>
    <n v="800"/>
    <n v="24"/>
    <s v="No"/>
    <x v="1"/>
    <n v="4"/>
    <x v="0"/>
    <x v="3"/>
    <x v="0"/>
  </r>
  <r>
    <n v="342"/>
    <x v="14"/>
    <x v="1"/>
    <x v="11"/>
    <s v="Radiation Therapy"/>
    <n v="20000"/>
    <n v="31"/>
    <s v="No"/>
    <x v="0"/>
    <n v="3"/>
    <x v="0"/>
    <x v="4"/>
    <x v="1"/>
  </r>
  <r>
    <n v="343"/>
    <x v="2"/>
    <x v="0"/>
    <x v="12"/>
    <s v="Delivery and Postnatal Care"/>
    <n v="12000"/>
    <n v="25"/>
    <s v="No"/>
    <x v="0"/>
    <n v="4"/>
    <x v="1"/>
    <x v="3"/>
    <x v="0"/>
  </r>
  <r>
    <n v="344"/>
    <x v="6"/>
    <x v="1"/>
    <x v="13"/>
    <s v="Lithotripsy"/>
    <n v="6000"/>
    <n v="26"/>
    <s v="No"/>
    <x v="0"/>
    <n v="3"/>
    <x v="0"/>
    <x v="3"/>
    <x v="1"/>
  </r>
  <r>
    <n v="345"/>
    <x v="11"/>
    <x v="0"/>
    <x v="14"/>
    <s v="Physical Therapy and Pain Management"/>
    <n v="4000"/>
    <n v="27"/>
    <s v="No"/>
    <x v="1"/>
    <n v="4"/>
    <x v="2"/>
    <x v="3"/>
    <x v="0"/>
  </r>
  <r>
    <n v="346"/>
    <x v="6"/>
    <x v="0"/>
    <x v="0"/>
    <s v="Angioplasty"/>
    <n v="15000"/>
    <n v="28"/>
    <s v="Yes"/>
    <x v="0"/>
    <n v="3"/>
    <x v="0"/>
    <x v="3"/>
    <x v="1"/>
  </r>
  <r>
    <n v="347"/>
    <x v="15"/>
    <x v="1"/>
    <x v="1"/>
    <s v="Insulin Therapy"/>
    <n v="2000"/>
    <n v="26"/>
    <s v="No"/>
    <x v="1"/>
    <n v="4"/>
    <x v="2"/>
    <x v="3"/>
    <x v="0"/>
  </r>
  <r>
    <n v="348"/>
    <x v="16"/>
    <x v="0"/>
    <x v="2"/>
    <s v="X-Ray and Splint"/>
    <n v="500"/>
    <n v="24"/>
    <s v="Yes"/>
    <x v="0"/>
    <n v="5"/>
    <x v="1"/>
    <x v="3"/>
    <x v="0"/>
  </r>
  <r>
    <n v="349"/>
    <x v="17"/>
    <x v="1"/>
    <x v="3"/>
    <s v="CT Scan and Medication"/>
    <n v="10000"/>
    <n v="30"/>
    <s v="No"/>
    <x v="1"/>
    <n v="2"/>
    <x v="2"/>
    <x v="3"/>
    <x v="2"/>
  </r>
  <r>
    <n v="350"/>
    <x v="18"/>
    <x v="0"/>
    <x v="4"/>
    <s v="Surgery and Chemotherapy"/>
    <n v="25000"/>
    <n v="33"/>
    <s v="Yes"/>
    <x v="0"/>
    <n v="4"/>
    <x v="0"/>
    <x v="4"/>
    <x v="0"/>
  </r>
  <r>
    <n v="351"/>
    <x v="19"/>
    <x v="1"/>
    <x v="5"/>
    <s v="Medication and Counseling"/>
    <n v="1000"/>
    <n v="25"/>
    <s v="No"/>
    <x v="1"/>
    <n v="4"/>
    <x v="2"/>
    <x v="3"/>
    <x v="0"/>
  </r>
  <r>
    <n v="352"/>
    <x v="1"/>
    <x v="0"/>
    <x v="6"/>
    <s v="Appendectomy"/>
    <n v="8000"/>
    <n v="27"/>
    <s v="Yes"/>
    <x v="0"/>
    <n v="3"/>
    <x v="0"/>
    <x v="3"/>
    <x v="1"/>
  </r>
  <r>
    <n v="353"/>
    <x v="0"/>
    <x v="1"/>
    <x v="7"/>
    <s v="Cast and Physical Therapy"/>
    <n v="3000"/>
    <n v="29"/>
    <s v="No"/>
    <x v="0"/>
    <n v="4"/>
    <x v="0"/>
    <x v="3"/>
    <x v="0"/>
  </r>
  <r>
    <n v="354"/>
    <x v="3"/>
    <x v="0"/>
    <x v="8"/>
    <s v="Cardiac Catheterization"/>
    <n v="18000"/>
    <n v="31"/>
    <s v="Yes"/>
    <x v="1"/>
    <n v="2"/>
    <x v="2"/>
    <x v="4"/>
    <x v="2"/>
  </r>
  <r>
    <n v="355"/>
    <x v="20"/>
    <x v="1"/>
    <x v="9"/>
    <s v="Epinephrine Injection"/>
    <n v="100"/>
    <n v="24"/>
    <s v="No"/>
    <x v="0"/>
    <n v="5"/>
    <x v="1"/>
    <x v="3"/>
    <x v="0"/>
  </r>
  <r>
    <n v="357"/>
    <x v="21"/>
    <x v="1"/>
    <x v="11"/>
    <s v="Radiation Therapy"/>
    <n v="20000"/>
    <n v="32"/>
    <s v="No"/>
    <x v="0"/>
    <n v="3"/>
    <x v="2"/>
    <x v="4"/>
    <x v="1"/>
  </r>
  <r>
    <n v="358"/>
    <x v="16"/>
    <x v="0"/>
    <x v="12"/>
    <s v="Delivery and Postnatal Care"/>
    <n v="12000"/>
    <n v="26"/>
    <s v="No"/>
    <x v="0"/>
    <n v="4"/>
    <x v="1"/>
    <x v="3"/>
    <x v="0"/>
  </r>
  <r>
    <n v="359"/>
    <x v="4"/>
    <x v="1"/>
    <x v="13"/>
    <s v="Lithotripsy"/>
    <n v="6000"/>
    <n v="27"/>
    <s v="No"/>
    <x v="0"/>
    <n v="3"/>
    <x v="0"/>
    <x v="3"/>
    <x v="1"/>
  </r>
  <r>
    <n v="360"/>
    <x v="1"/>
    <x v="0"/>
    <x v="14"/>
    <s v="Physical Therapy and Pain Management"/>
    <n v="4000"/>
    <n v="28"/>
    <s v="No"/>
    <x v="1"/>
    <n v="4"/>
    <x v="0"/>
    <x v="3"/>
    <x v="0"/>
  </r>
  <r>
    <n v="361"/>
    <x v="10"/>
    <x v="0"/>
    <x v="0"/>
    <s v="Angioplasty"/>
    <n v="15000"/>
    <n v="29"/>
    <s v="Yes"/>
    <x v="0"/>
    <n v="4"/>
    <x v="0"/>
    <x v="3"/>
    <x v="0"/>
  </r>
  <r>
    <n v="362"/>
    <x v="11"/>
    <x v="1"/>
    <x v="1"/>
    <s v="Insulin Therapy"/>
    <n v="2000"/>
    <n v="27"/>
    <s v="No"/>
    <x v="1"/>
    <n v="3"/>
    <x v="2"/>
    <x v="3"/>
    <x v="1"/>
  </r>
  <r>
    <n v="363"/>
    <x v="12"/>
    <x v="0"/>
    <x v="2"/>
    <s v="X-Ray and Splint"/>
    <n v="500"/>
    <n v="25"/>
    <s v="No"/>
    <x v="0"/>
    <n v="5"/>
    <x v="1"/>
    <x v="3"/>
    <x v="0"/>
  </r>
  <r>
    <n v="364"/>
    <x v="8"/>
    <x v="1"/>
    <x v="3"/>
    <s v="CT Scan and Medication"/>
    <n v="10000"/>
    <n v="31"/>
    <s v="Yes"/>
    <x v="1"/>
    <n v="2"/>
    <x v="2"/>
    <x v="4"/>
    <x v="2"/>
  </r>
  <r>
    <n v="365"/>
    <x v="6"/>
    <x v="0"/>
    <x v="4"/>
    <s v="Surgery and Chemotherapy"/>
    <n v="25000"/>
    <n v="34"/>
    <s v="No"/>
    <x v="0"/>
    <n v="4"/>
    <x v="0"/>
    <x v="4"/>
    <x v="0"/>
  </r>
  <r>
    <n v="366"/>
    <x v="5"/>
    <x v="1"/>
    <x v="5"/>
    <s v="Medication and Counseling"/>
    <n v="1000"/>
    <n v="26"/>
    <s v="No"/>
    <x v="1"/>
    <n v="4"/>
    <x v="2"/>
    <x v="3"/>
    <x v="0"/>
  </r>
  <r>
    <n v="367"/>
    <x v="0"/>
    <x v="0"/>
    <x v="6"/>
    <s v="Appendectomy"/>
    <n v="8000"/>
    <n v="28"/>
    <s v="No"/>
    <x v="0"/>
    <n v="3"/>
    <x v="0"/>
    <x v="3"/>
    <x v="1"/>
  </r>
  <r>
    <n v="368"/>
    <x v="7"/>
    <x v="1"/>
    <x v="7"/>
    <s v="Cast and Physical Therapy"/>
    <n v="3000"/>
    <n v="30"/>
    <s v="No"/>
    <x v="0"/>
    <n v="4"/>
    <x v="0"/>
    <x v="3"/>
    <x v="0"/>
  </r>
  <r>
    <n v="369"/>
    <x v="17"/>
    <x v="0"/>
    <x v="8"/>
    <s v="Cardiac Catheterization"/>
    <n v="18000"/>
    <n v="32"/>
    <s v="Yes"/>
    <x v="1"/>
    <n v="2"/>
    <x v="2"/>
    <x v="4"/>
    <x v="2"/>
  </r>
  <r>
    <n v="370"/>
    <x v="9"/>
    <x v="1"/>
    <x v="9"/>
    <s v="Epinephrine Injection"/>
    <n v="100"/>
    <n v="25"/>
    <s v="No"/>
    <x v="0"/>
    <n v="5"/>
    <x v="1"/>
    <x v="3"/>
    <x v="0"/>
  </r>
  <r>
    <n v="371"/>
    <x v="13"/>
    <x v="0"/>
    <x v="10"/>
    <s v="Antibiotics and Rest"/>
    <n v="800"/>
    <n v="26"/>
    <s v="No"/>
    <x v="1"/>
    <n v="4"/>
    <x v="0"/>
    <x v="3"/>
    <x v="0"/>
  </r>
  <r>
    <n v="372"/>
    <x v="14"/>
    <x v="1"/>
    <x v="11"/>
    <s v="Radiation Therapy"/>
    <n v="20000"/>
    <n v="33"/>
    <s v="No"/>
    <x v="0"/>
    <n v="3"/>
    <x v="0"/>
    <x v="4"/>
    <x v="1"/>
  </r>
  <r>
    <n v="373"/>
    <x v="2"/>
    <x v="0"/>
    <x v="12"/>
    <s v="Delivery and Postnatal Care"/>
    <n v="12000"/>
    <n v="27"/>
    <s v="No"/>
    <x v="0"/>
    <n v="4"/>
    <x v="1"/>
    <x v="3"/>
    <x v="0"/>
  </r>
  <r>
    <n v="374"/>
    <x v="6"/>
    <x v="1"/>
    <x v="13"/>
    <s v="Lithotripsy"/>
    <n v="6000"/>
    <n v="28"/>
    <s v="No"/>
    <x v="0"/>
    <n v="3"/>
    <x v="0"/>
    <x v="3"/>
    <x v="1"/>
  </r>
  <r>
    <n v="375"/>
    <x v="11"/>
    <x v="0"/>
    <x v="14"/>
    <s v="Physical Therapy and Pain Management"/>
    <n v="4000"/>
    <n v="29"/>
    <s v="No"/>
    <x v="1"/>
    <n v="4"/>
    <x v="2"/>
    <x v="3"/>
    <x v="0"/>
  </r>
  <r>
    <n v="376"/>
    <x v="6"/>
    <x v="0"/>
    <x v="0"/>
    <s v="Angioplasty"/>
    <n v="15000"/>
    <n v="30"/>
    <s v="Yes"/>
    <x v="0"/>
    <n v="3"/>
    <x v="0"/>
    <x v="3"/>
    <x v="1"/>
  </r>
  <r>
    <n v="377"/>
    <x v="15"/>
    <x v="1"/>
    <x v="1"/>
    <s v="Insulin Therapy"/>
    <n v="2000"/>
    <n v="28"/>
    <s v="No"/>
    <x v="1"/>
    <n v="4"/>
    <x v="2"/>
    <x v="3"/>
    <x v="0"/>
  </r>
  <r>
    <n v="378"/>
    <x v="16"/>
    <x v="0"/>
    <x v="2"/>
    <s v="X-Ray and Splint"/>
    <n v="500"/>
    <n v="26"/>
    <s v="Yes"/>
    <x v="0"/>
    <n v="5"/>
    <x v="1"/>
    <x v="3"/>
    <x v="0"/>
  </r>
  <r>
    <n v="379"/>
    <x v="17"/>
    <x v="1"/>
    <x v="3"/>
    <s v="CT Scan and Medication"/>
    <n v="10000"/>
    <n v="33"/>
    <s v="No"/>
    <x v="1"/>
    <n v="2"/>
    <x v="2"/>
    <x v="4"/>
    <x v="2"/>
  </r>
  <r>
    <n v="380"/>
    <x v="18"/>
    <x v="0"/>
    <x v="4"/>
    <s v="Surgery and Chemotherapy"/>
    <n v="25000"/>
    <n v="35"/>
    <s v="Yes"/>
    <x v="0"/>
    <n v="4"/>
    <x v="0"/>
    <x v="4"/>
    <x v="0"/>
  </r>
  <r>
    <n v="381"/>
    <x v="19"/>
    <x v="1"/>
    <x v="5"/>
    <s v="Medication and Counseling"/>
    <n v="1000"/>
    <n v="27"/>
    <s v="No"/>
    <x v="1"/>
    <n v="4"/>
    <x v="2"/>
    <x v="3"/>
    <x v="0"/>
  </r>
  <r>
    <n v="382"/>
    <x v="1"/>
    <x v="0"/>
    <x v="6"/>
    <s v="Appendectomy"/>
    <n v="8000"/>
    <n v="29"/>
    <s v="Yes"/>
    <x v="0"/>
    <n v="3"/>
    <x v="0"/>
    <x v="3"/>
    <x v="1"/>
  </r>
  <r>
    <n v="383"/>
    <x v="0"/>
    <x v="1"/>
    <x v="7"/>
    <s v="Cast and Physical Therapy"/>
    <n v="3000"/>
    <n v="31"/>
    <s v="No"/>
    <x v="0"/>
    <n v="4"/>
    <x v="0"/>
    <x v="4"/>
    <x v="0"/>
  </r>
  <r>
    <n v="384"/>
    <x v="3"/>
    <x v="0"/>
    <x v="8"/>
    <s v="Cardiac Catheterization"/>
    <n v="18000"/>
    <n v="33"/>
    <s v="Yes"/>
    <x v="1"/>
    <n v="2"/>
    <x v="2"/>
    <x v="4"/>
    <x v="2"/>
  </r>
  <r>
    <n v="385"/>
    <x v="20"/>
    <x v="1"/>
    <x v="9"/>
    <s v="Epinephrine Injection"/>
    <n v="100"/>
    <n v="26"/>
    <s v="No"/>
    <x v="0"/>
    <n v="5"/>
    <x v="1"/>
    <x v="3"/>
    <x v="0"/>
  </r>
  <r>
    <n v="386"/>
    <x v="13"/>
    <x v="0"/>
    <x v="10"/>
    <s v="Antibiotics and Rest"/>
    <n v="800"/>
    <n v="27"/>
    <s v="No"/>
    <x v="1"/>
    <n v="4"/>
    <x v="0"/>
    <x v="3"/>
    <x v="0"/>
  </r>
  <r>
    <n v="387"/>
    <x v="21"/>
    <x v="1"/>
    <x v="11"/>
    <s v="Radiation Therapy"/>
    <n v="20000"/>
    <n v="34"/>
    <s v="No"/>
    <x v="0"/>
    <n v="3"/>
    <x v="2"/>
    <x v="4"/>
    <x v="1"/>
  </r>
  <r>
    <n v="388"/>
    <x v="16"/>
    <x v="0"/>
    <x v="12"/>
    <s v="Delivery and Postnatal Care"/>
    <n v="12000"/>
    <n v="28"/>
    <s v="No"/>
    <x v="0"/>
    <n v="4"/>
    <x v="1"/>
    <x v="3"/>
    <x v="0"/>
  </r>
  <r>
    <n v="389"/>
    <x v="4"/>
    <x v="1"/>
    <x v="13"/>
    <s v="Lithotripsy"/>
    <n v="6000"/>
    <n v="29"/>
    <s v="No"/>
    <x v="0"/>
    <n v="3"/>
    <x v="0"/>
    <x v="3"/>
    <x v="1"/>
  </r>
  <r>
    <n v="390"/>
    <x v="1"/>
    <x v="0"/>
    <x v="14"/>
    <s v="Physical Therapy and Pain Management"/>
    <n v="4000"/>
    <n v="30"/>
    <s v="No"/>
    <x v="1"/>
    <n v="4"/>
    <x v="0"/>
    <x v="3"/>
    <x v="0"/>
  </r>
  <r>
    <n v="391"/>
    <x v="10"/>
    <x v="0"/>
    <x v="0"/>
    <s v="Angioplasty"/>
    <n v="15000"/>
    <n v="31"/>
    <s v="Yes"/>
    <x v="0"/>
    <n v="4"/>
    <x v="0"/>
    <x v="4"/>
    <x v="0"/>
  </r>
  <r>
    <n v="392"/>
    <x v="11"/>
    <x v="1"/>
    <x v="1"/>
    <s v="Insulin Therapy"/>
    <n v="2000"/>
    <n v="29"/>
    <s v="No"/>
    <x v="1"/>
    <n v="3"/>
    <x v="2"/>
    <x v="3"/>
    <x v="1"/>
  </r>
  <r>
    <n v="393"/>
    <x v="12"/>
    <x v="0"/>
    <x v="2"/>
    <s v="X-Ray and Splint"/>
    <n v="500"/>
    <n v="27"/>
    <s v="No"/>
    <x v="0"/>
    <n v="5"/>
    <x v="1"/>
    <x v="3"/>
    <x v="0"/>
  </r>
  <r>
    <n v="394"/>
    <x v="8"/>
    <x v="1"/>
    <x v="3"/>
    <s v="CT Scan and Medication"/>
    <n v="10000"/>
    <n v="34"/>
    <s v="Yes"/>
    <x v="1"/>
    <n v="2"/>
    <x v="2"/>
    <x v="4"/>
    <x v="2"/>
  </r>
  <r>
    <n v="395"/>
    <x v="6"/>
    <x v="0"/>
    <x v="4"/>
    <s v="Surgery and Chemotherapy"/>
    <n v="25000"/>
    <n v="36"/>
    <s v="No"/>
    <x v="0"/>
    <n v="4"/>
    <x v="0"/>
    <x v="4"/>
    <x v="0"/>
  </r>
  <r>
    <n v="396"/>
    <x v="5"/>
    <x v="1"/>
    <x v="5"/>
    <s v="Medication and Counseling"/>
    <n v="1000"/>
    <n v="28"/>
    <s v="No"/>
    <x v="1"/>
    <n v="4"/>
    <x v="2"/>
    <x v="3"/>
    <x v="0"/>
  </r>
  <r>
    <n v="397"/>
    <x v="0"/>
    <x v="0"/>
    <x v="6"/>
    <s v="Appendectomy"/>
    <n v="8000"/>
    <n v="30"/>
    <s v="No"/>
    <x v="0"/>
    <n v="3"/>
    <x v="0"/>
    <x v="3"/>
    <x v="1"/>
  </r>
  <r>
    <n v="398"/>
    <x v="7"/>
    <x v="1"/>
    <x v="7"/>
    <s v="Cast and Physical Therapy"/>
    <n v="3000"/>
    <n v="32"/>
    <s v="No"/>
    <x v="0"/>
    <n v="4"/>
    <x v="0"/>
    <x v="4"/>
    <x v="0"/>
  </r>
  <r>
    <n v="399"/>
    <x v="17"/>
    <x v="0"/>
    <x v="8"/>
    <s v="Cardiac Catheterization"/>
    <n v="18000"/>
    <n v="34"/>
    <s v="Yes"/>
    <x v="1"/>
    <n v="2"/>
    <x v="2"/>
    <x v="4"/>
    <x v="2"/>
  </r>
  <r>
    <n v="400"/>
    <x v="9"/>
    <x v="1"/>
    <x v="9"/>
    <s v="Epinephrine Injection"/>
    <n v="100"/>
    <n v="27"/>
    <s v="No"/>
    <x v="0"/>
    <n v="5"/>
    <x v="1"/>
    <x v="3"/>
    <x v="0"/>
  </r>
  <r>
    <n v="401"/>
    <x v="13"/>
    <x v="0"/>
    <x v="10"/>
    <s v="Antibiotics and Rest"/>
    <n v="800"/>
    <n v="28"/>
    <s v="No"/>
    <x v="1"/>
    <n v="4"/>
    <x v="0"/>
    <x v="3"/>
    <x v="0"/>
  </r>
  <r>
    <n v="402"/>
    <x v="14"/>
    <x v="1"/>
    <x v="11"/>
    <s v="Radiation Therapy"/>
    <n v="20000"/>
    <n v="35"/>
    <s v="No"/>
    <x v="0"/>
    <n v="3"/>
    <x v="0"/>
    <x v="4"/>
    <x v="1"/>
  </r>
  <r>
    <n v="403"/>
    <x v="2"/>
    <x v="0"/>
    <x v="12"/>
    <s v="Delivery and Postnatal Care"/>
    <n v="12000"/>
    <n v="29"/>
    <s v="No"/>
    <x v="0"/>
    <n v="4"/>
    <x v="1"/>
    <x v="3"/>
    <x v="0"/>
  </r>
  <r>
    <n v="404"/>
    <x v="6"/>
    <x v="1"/>
    <x v="13"/>
    <s v="Lithotripsy"/>
    <n v="6000"/>
    <n v="30"/>
    <s v="No"/>
    <x v="0"/>
    <n v="3"/>
    <x v="0"/>
    <x v="3"/>
    <x v="1"/>
  </r>
  <r>
    <n v="405"/>
    <x v="11"/>
    <x v="0"/>
    <x v="14"/>
    <s v="Physical Therapy and Pain Management"/>
    <n v="4000"/>
    <n v="31"/>
    <s v="No"/>
    <x v="1"/>
    <n v="4"/>
    <x v="2"/>
    <x v="4"/>
    <x v="0"/>
  </r>
  <r>
    <n v="406"/>
    <x v="6"/>
    <x v="0"/>
    <x v="0"/>
    <s v="Angioplasty"/>
    <n v="15000"/>
    <n v="32"/>
    <s v="Yes"/>
    <x v="0"/>
    <n v="3"/>
    <x v="0"/>
    <x v="4"/>
    <x v="1"/>
  </r>
  <r>
    <n v="407"/>
    <x v="15"/>
    <x v="1"/>
    <x v="1"/>
    <s v="Insulin Therapy"/>
    <n v="2000"/>
    <n v="30"/>
    <s v="No"/>
    <x v="1"/>
    <n v="4"/>
    <x v="2"/>
    <x v="3"/>
    <x v="0"/>
  </r>
  <r>
    <n v="408"/>
    <x v="16"/>
    <x v="0"/>
    <x v="2"/>
    <s v="X-Ray and Splint"/>
    <n v="500"/>
    <n v="28"/>
    <s v="Yes"/>
    <x v="0"/>
    <n v="5"/>
    <x v="1"/>
    <x v="3"/>
    <x v="0"/>
  </r>
  <r>
    <n v="409"/>
    <x v="17"/>
    <x v="1"/>
    <x v="3"/>
    <s v="CT Scan and Medication"/>
    <n v="10000"/>
    <n v="35"/>
    <s v="No"/>
    <x v="1"/>
    <n v="2"/>
    <x v="2"/>
    <x v="4"/>
    <x v="2"/>
  </r>
  <r>
    <n v="410"/>
    <x v="18"/>
    <x v="0"/>
    <x v="4"/>
    <s v="Surgery and Chemotherapy"/>
    <n v="25000"/>
    <n v="37"/>
    <s v="Yes"/>
    <x v="0"/>
    <n v="4"/>
    <x v="0"/>
    <x v="4"/>
    <x v="0"/>
  </r>
  <r>
    <n v="411"/>
    <x v="19"/>
    <x v="1"/>
    <x v="5"/>
    <s v="Medication and Counseling"/>
    <n v="1000"/>
    <n v="29"/>
    <s v="No"/>
    <x v="1"/>
    <n v="4"/>
    <x v="2"/>
    <x v="3"/>
    <x v="0"/>
  </r>
  <r>
    <n v="412"/>
    <x v="1"/>
    <x v="0"/>
    <x v="6"/>
    <s v="Appendectomy"/>
    <n v="8000"/>
    <n v="31"/>
    <s v="Yes"/>
    <x v="0"/>
    <n v="3"/>
    <x v="0"/>
    <x v="4"/>
    <x v="1"/>
  </r>
  <r>
    <n v="413"/>
    <x v="0"/>
    <x v="1"/>
    <x v="7"/>
    <s v="Cast and Physical Therapy"/>
    <n v="3000"/>
    <n v="33"/>
    <s v="No"/>
    <x v="0"/>
    <n v="4"/>
    <x v="0"/>
    <x v="4"/>
    <x v="0"/>
  </r>
  <r>
    <n v="414"/>
    <x v="3"/>
    <x v="0"/>
    <x v="8"/>
    <s v="Cardiac Catheterization"/>
    <n v="18000"/>
    <n v="35"/>
    <s v="Yes"/>
    <x v="1"/>
    <n v="2"/>
    <x v="2"/>
    <x v="4"/>
    <x v="2"/>
  </r>
  <r>
    <n v="415"/>
    <x v="20"/>
    <x v="1"/>
    <x v="9"/>
    <s v="Epinephrine Injection"/>
    <n v="100"/>
    <n v="28"/>
    <s v="No"/>
    <x v="0"/>
    <n v="5"/>
    <x v="1"/>
    <x v="3"/>
    <x v="0"/>
  </r>
  <r>
    <n v="416"/>
    <x v="13"/>
    <x v="0"/>
    <x v="10"/>
    <s v="Antibiotics and Rest"/>
    <n v="800"/>
    <n v="29"/>
    <s v="No"/>
    <x v="1"/>
    <n v="4"/>
    <x v="0"/>
    <x v="3"/>
    <x v="0"/>
  </r>
  <r>
    <n v="418"/>
    <x v="16"/>
    <x v="0"/>
    <x v="12"/>
    <s v="Delivery and Postnatal Care"/>
    <n v="12000"/>
    <n v="30"/>
    <s v="No"/>
    <x v="0"/>
    <n v="4"/>
    <x v="1"/>
    <x v="3"/>
    <x v="0"/>
  </r>
  <r>
    <n v="419"/>
    <x v="4"/>
    <x v="1"/>
    <x v="13"/>
    <s v="Lithotripsy"/>
    <n v="6000"/>
    <n v="31"/>
    <s v="No"/>
    <x v="0"/>
    <n v="3"/>
    <x v="0"/>
    <x v="4"/>
    <x v="1"/>
  </r>
  <r>
    <n v="420"/>
    <x v="1"/>
    <x v="0"/>
    <x v="14"/>
    <s v="Physical Therapy and Pain Management"/>
    <n v="4000"/>
    <n v="32"/>
    <s v="No"/>
    <x v="1"/>
    <n v="4"/>
    <x v="0"/>
    <x v="4"/>
    <x v="0"/>
  </r>
  <r>
    <n v="421"/>
    <x v="10"/>
    <x v="0"/>
    <x v="0"/>
    <s v="Angioplasty"/>
    <n v="15000"/>
    <n v="33"/>
    <s v="Yes"/>
    <x v="0"/>
    <n v="4"/>
    <x v="0"/>
    <x v="4"/>
    <x v="0"/>
  </r>
  <r>
    <n v="422"/>
    <x v="11"/>
    <x v="1"/>
    <x v="1"/>
    <s v="Insulin Therapy"/>
    <n v="2000"/>
    <n v="31"/>
    <s v="No"/>
    <x v="1"/>
    <n v="3"/>
    <x v="2"/>
    <x v="4"/>
    <x v="1"/>
  </r>
  <r>
    <n v="423"/>
    <x v="12"/>
    <x v="0"/>
    <x v="2"/>
    <s v="X-Ray and Splint"/>
    <n v="500"/>
    <n v="29"/>
    <s v="No"/>
    <x v="0"/>
    <n v="5"/>
    <x v="1"/>
    <x v="3"/>
    <x v="0"/>
  </r>
  <r>
    <n v="424"/>
    <x v="8"/>
    <x v="1"/>
    <x v="3"/>
    <s v="CT Scan and Medication"/>
    <n v="10000"/>
    <n v="36"/>
    <s v="Yes"/>
    <x v="1"/>
    <n v="2"/>
    <x v="2"/>
    <x v="4"/>
    <x v="2"/>
  </r>
  <r>
    <n v="425"/>
    <x v="6"/>
    <x v="0"/>
    <x v="4"/>
    <s v="Surgery and Chemotherapy"/>
    <n v="25000"/>
    <n v="38"/>
    <s v="No"/>
    <x v="0"/>
    <n v="4"/>
    <x v="0"/>
    <x v="4"/>
    <x v="0"/>
  </r>
  <r>
    <n v="426"/>
    <x v="5"/>
    <x v="1"/>
    <x v="5"/>
    <s v="Medication and Counseling"/>
    <n v="1000"/>
    <n v="30"/>
    <s v="No"/>
    <x v="1"/>
    <n v="4"/>
    <x v="2"/>
    <x v="3"/>
    <x v="0"/>
  </r>
  <r>
    <n v="427"/>
    <x v="0"/>
    <x v="0"/>
    <x v="6"/>
    <s v="Appendectomy"/>
    <n v="8000"/>
    <n v="32"/>
    <s v="No"/>
    <x v="0"/>
    <n v="3"/>
    <x v="0"/>
    <x v="4"/>
    <x v="1"/>
  </r>
  <r>
    <n v="428"/>
    <x v="7"/>
    <x v="1"/>
    <x v="7"/>
    <s v="Cast and Physical Therapy"/>
    <n v="3000"/>
    <n v="34"/>
    <s v="No"/>
    <x v="0"/>
    <n v="4"/>
    <x v="0"/>
    <x v="4"/>
    <x v="0"/>
  </r>
  <r>
    <n v="429"/>
    <x v="17"/>
    <x v="0"/>
    <x v="8"/>
    <s v="Cardiac Catheterization"/>
    <n v="18000"/>
    <n v="36"/>
    <s v="Yes"/>
    <x v="1"/>
    <n v="2"/>
    <x v="2"/>
    <x v="4"/>
    <x v="2"/>
  </r>
  <r>
    <n v="430"/>
    <x v="9"/>
    <x v="1"/>
    <x v="9"/>
    <s v="Epinephrine Injection"/>
    <n v="100"/>
    <n v="29"/>
    <s v="No"/>
    <x v="0"/>
    <n v="5"/>
    <x v="1"/>
    <x v="3"/>
    <x v="0"/>
  </r>
  <r>
    <n v="431"/>
    <x v="13"/>
    <x v="0"/>
    <x v="10"/>
    <s v="Antibiotics and Rest"/>
    <n v="800"/>
    <n v="30"/>
    <s v="No"/>
    <x v="1"/>
    <n v="4"/>
    <x v="0"/>
    <x v="3"/>
    <x v="0"/>
  </r>
  <r>
    <n v="432"/>
    <x v="14"/>
    <x v="1"/>
    <x v="11"/>
    <s v="Radiation Therapy"/>
    <n v="20000"/>
    <n v="37"/>
    <s v="No"/>
    <x v="0"/>
    <n v="3"/>
    <x v="0"/>
    <x v="4"/>
    <x v="1"/>
  </r>
  <r>
    <n v="433"/>
    <x v="2"/>
    <x v="0"/>
    <x v="12"/>
    <s v="Delivery and Postnatal Care"/>
    <n v="12000"/>
    <n v="31"/>
    <s v="No"/>
    <x v="0"/>
    <n v="4"/>
    <x v="1"/>
    <x v="4"/>
    <x v="0"/>
  </r>
  <r>
    <n v="434"/>
    <x v="6"/>
    <x v="1"/>
    <x v="13"/>
    <s v="Lithotripsy"/>
    <n v="6000"/>
    <n v="32"/>
    <s v="No"/>
    <x v="0"/>
    <n v="3"/>
    <x v="0"/>
    <x v="4"/>
    <x v="1"/>
  </r>
  <r>
    <n v="435"/>
    <x v="11"/>
    <x v="0"/>
    <x v="14"/>
    <s v="Physical Therapy and Pain Management"/>
    <n v="4000"/>
    <n v="33"/>
    <s v="No"/>
    <x v="1"/>
    <n v="4"/>
    <x v="2"/>
    <x v="4"/>
    <x v="0"/>
  </r>
  <r>
    <n v="436"/>
    <x v="6"/>
    <x v="0"/>
    <x v="0"/>
    <s v="Angioplasty"/>
    <n v="15000"/>
    <n v="34"/>
    <s v="Yes"/>
    <x v="0"/>
    <n v="3"/>
    <x v="0"/>
    <x v="4"/>
    <x v="1"/>
  </r>
  <r>
    <n v="437"/>
    <x v="15"/>
    <x v="1"/>
    <x v="1"/>
    <s v="Insulin Therapy"/>
    <n v="2000"/>
    <n v="32"/>
    <s v="No"/>
    <x v="1"/>
    <n v="4"/>
    <x v="2"/>
    <x v="4"/>
    <x v="0"/>
  </r>
  <r>
    <n v="438"/>
    <x v="16"/>
    <x v="0"/>
    <x v="2"/>
    <s v="X-Ray and Splint"/>
    <n v="500"/>
    <n v="30"/>
    <s v="Yes"/>
    <x v="0"/>
    <n v="5"/>
    <x v="1"/>
    <x v="3"/>
    <x v="0"/>
  </r>
  <r>
    <n v="439"/>
    <x v="17"/>
    <x v="1"/>
    <x v="3"/>
    <s v="CT Scan and Medication"/>
    <n v="10000"/>
    <n v="37"/>
    <s v="No"/>
    <x v="1"/>
    <n v="2"/>
    <x v="2"/>
    <x v="4"/>
    <x v="2"/>
  </r>
  <r>
    <n v="440"/>
    <x v="18"/>
    <x v="0"/>
    <x v="4"/>
    <s v="Surgery and Chemotherapy"/>
    <n v="25000"/>
    <n v="39"/>
    <s v="Yes"/>
    <x v="0"/>
    <n v="4"/>
    <x v="0"/>
    <x v="4"/>
    <x v="0"/>
  </r>
  <r>
    <n v="441"/>
    <x v="19"/>
    <x v="1"/>
    <x v="5"/>
    <s v="Medication and Counseling"/>
    <n v="1000"/>
    <n v="31"/>
    <s v="No"/>
    <x v="1"/>
    <n v="4"/>
    <x v="2"/>
    <x v="4"/>
    <x v="0"/>
  </r>
  <r>
    <n v="442"/>
    <x v="1"/>
    <x v="0"/>
    <x v="6"/>
    <s v="Appendectomy"/>
    <n v="8000"/>
    <n v="33"/>
    <s v="Yes"/>
    <x v="0"/>
    <n v="3"/>
    <x v="0"/>
    <x v="4"/>
    <x v="1"/>
  </r>
  <r>
    <n v="443"/>
    <x v="0"/>
    <x v="1"/>
    <x v="7"/>
    <s v="Cast and Physical Therapy"/>
    <n v="3000"/>
    <n v="35"/>
    <s v="No"/>
    <x v="0"/>
    <n v="4"/>
    <x v="0"/>
    <x v="4"/>
    <x v="0"/>
  </r>
  <r>
    <n v="444"/>
    <x v="3"/>
    <x v="0"/>
    <x v="8"/>
    <s v="Cardiac Catheterization"/>
    <n v="18000"/>
    <n v="37"/>
    <s v="Yes"/>
    <x v="1"/>
    <n v="2"/>
    <x v="2"/>
    <x v="4"/>
    <x v="2"/>
  </r>
  <r>
    <n v="445"/>
    <x v="20"/>
    <x v="1"/>
    <x v="9"/>
    <s v="Epinephrine Injection"/>
    <n v="100"/>
    <n v="30"/>
    <s v="No"/>
    <x v="0"/>
    <n v="5"/>
    <x v="1"/>
    <x v="3"/>
    <x v="0"/>
  </r>
  <r>
    <n v="446"/>
    <x v="13"/>
    <x v="0"/>
    <x v="10"/>
    <s v="Antibiotics and Rest"/>
    <n v="800"/>
    <n v="31"/>
    <s v="No"/>
    <x v="1"/>
    <n v="4"/>
    <x v="0"/>
    <x v="4"/>
    <x v="0"/>
  </r>
  <r>
    <n v="447"/>
    <x v="21"/>
    <x v="1"/>
    <x v="11"/>
    <s v="Radiation Therapy"/>
    <n v="20000"/>
    <n v="38"/>
    <s v="No"/>
    <x v="0"/>
    <n v="3"/>
    <x v="2"/>
    <x v="4"/>
    <x v="1"/>
  </r>
  <r>
    <n v="448"/>
    <x v="16"/>
    <x v="0"/>
    <x v="12"/>
    <s v="Delivery and Postnatal Care"/>
    <n v="12000"/>
    <n v="32"/>
    <s v="No"/>
    <x v="0"/>
    <n v="4"/>
    <x v="1"/>
    <x v="4"/>
    <x v="0"/>
  </r>
  <r>
    <n v="449"/>
    <x v="4"/>
    <x v="1"/>
    <x v="13"/>
    <s v="Lithotripsy"/>
    <n v="6000"/>
    <n v="33"/>
    <s v="No"/>
    <x v="0"/>
    <n v="3"/>
    <x v="0"/>
    <x v="4"/>
    <x v="1"/>
  </r>
  <r>
    <n v="450"/>
    <x v="1"/>
    <x v="0"/>
    <x v="14"/>
    <s v="Physical Therapy and Pain Management"/>
    <n v="4000"/>
    <n v="34"/>
    <s v="No"/>
    <x v="1"/>
    <n v="4"/>
    <x v="0"/>
    <x v="4"/>
    <x v="0"/>
  </r>
  <r>
    <n v="451"/>
    <x v="10"/>
    <x v="0"/>
    <x v="0"/>
    <s v="Angioplasty"/>
    <n v="15000"/>
    <n v="35"/>
    <s v="Yes"/>
    <x v="0"/>
    <n v="4"/>
    <x v="0"/>
    <x v="4"/>
    <x v="0"/>
  </r>
  <r>
    <n v="452"/>
    <x v="11"/>
    <x v="1"/>
    <x v="1"/>
    <s v="Insulin Therapy"/>
    <n v="2000"/>
    <n v="33"/>
    <s v="No"/>
    <x v="1"/>
    <n v="3"/>
    <x v="2"/>
    <x v="4"/>
    <x v="1"/>
  </r>
  <r>
    <n v="453"/>
    <x v="12"/>
    <x v="0"/>
    <x v="2"/>
    <s v="X-Ray and Splint"/>
    <n v="500"/>
    <n v="31"/>
    <s v="No"/>
    <x v="0"/>
    <n v="5"/>
    <x v="1"/>
    <x v="4"/>
    <x v="0"/>
  </r>
  <r>
    <n v="454"/>
    <x v="8"/>
    <x v="1"/>
    <x v="3"/>
    <s v="CT Scan and Medication"/>
    <n v="10000"/>
    <n v="38"/>
    <s v="Yes"/>
    <x v="1"/>
    <n v="2"/>
    <x v="2"/>
    <x v="4"/>
    <x v="2"/>
  </r>
  <r>
    <n v="455"/>
    <x v="6"/>
    <x v="0"/>
    <x v="4"/>
    <s v="Surgery and Chemotherapy"/>
    <n v="25000"/>
    <n v="40"/>
    <s v="No"/>
    <x v="0"/>
    <n v="4"/>
    <x v="0"/>
    <x v="4"/>
    <x v="0"/>
  </r>
  <r>
    <n v="456"/>
    <x v="5"/>
    <x v="1"/>
    <x v="5"/>
    <s v="Medication and Counseling"/>
    <n v="1000"/>
    <n v="32"/>
    <s v="No"/>
    <x v="1"/>
    <n v="4"/>
    <x v="2"/>
    <x v="4"/>
    <x v="0"/>
  </r>
  <r>
    <n v="457"/>
    <x v="0"/>
    <x v="0"/>
    <x v="6"/>
    <s v="Appendectomy"/>
    <n v="8000"/>
    <n v="34"/>
    <s v="No"/>
    <x v="0"/>
    <n v="3"/>
    <x v="0"/>
    <x v="4"/>
    <x v="1"/>
  </r>
  <r>
    <n v="458"/>
    <x v="7"/>
    <x v="1"/>
    <x v="7"/>
    <s v="Cast and Physical Therapy"/>
    <n v="3000"/>
    <n v="36"/>
    <s v="No"/>
    <x v="0"/>
    <n v="4"/>
    <x v="0"/>
    <x v="4"/>
    <x v="0"/>
  </r>
  <r>
    <n v="459"/>
    <x v="17"/>
    <x v="0"/>
    <x v="8"/>
    <s v="Cardiac Catheterization"/>
    <n v="18000"/>
    <n v="38"/>
    <s v="Yes"/>
    <x v="1"/>
    <n v="2"/>
    <x v="2"/>
    <x v="4"/>
    <x v="2"/>
  </r>
  <r>
    <n v="460"/>
    <x v="9"/>
    <x v="1"/>
    <x v="9"/>
    <s v="Epinephrine Injection"/>
    <n v="100"/>
    <n v="31"/>
    <s v="No"/>
    <x v="0"/>
    <n v="5"/>
    <x v="1"/>
    <x v="4"/>
    <x v="0"/>
  </r>
  <r>
    <n v="461"/>
    <x v="13"/>
    <x v="0"/>
    <x v="10"/>
    <s v="Antibiotics and Rest"/>
    <n v="800"/>
    <n v="32"/>
    <s v="No"/>
    <x v="1"/>
    <n v="4"/>
    <x v="0"/>
    <x v="4"/>
    <x v="0"/>
  </r>
  <r>
    <n v="462"/>
    <x v="14"/>
    <x v="1"/>
    <x v="11"/>
    <s v="Radiation Therapy"/>
    <n v="20000"/>
    <n v="39"/>
    <s v="No"/>
    <x v="0"/>
    <n v="3"/>
    <x v="0"/>
    <x v="4"/>
    <x v="1"/>
  </r>
  <r>
    <n v="463"/>
    <x v="2"/>
    <x v="0"/>
    <x v="12"/>
    <s v="Delivery and Postnatal Care"/>
    <n v="12000"/>
    <n v="33"/>
    <s v="No"/>
    <x v="0"/>
    <n v="4"/>
    <x v="1"/>
    <x v="4"/>
    <x v="0"/>
  </r>
  <r>
    <n v="464"/>
    <x v="6"/>
    <x v="1"/>
    <x v="13"/>
    <s v="Lithotripsy"/>
    <n v="6000"/>
    <n v="34"/>
    <s v="No"/>
    <x v="0"/>
    <n v="3"/>
    <x v="0"/>
    <x v="4"/>
    <x v="1"/>
  </r>
  <r>
    <n v="465"/>
    <x v="11"/>
    <x v="0"/>
    <x v="14"/>
    <s v="Physical Therapy and Pain Management"/>
    <n v="4000"/>
    <n v="35"/>
    <s v="No"/>
    <x v="1"/>
    <n v="4"/>
    <x v="2"/>
    <x v="4"/>
    <x v="0"/>
  </r>
  <r>
    <n v="466"/>
    <x v="6"/>
    <x v="0"/>
    <x v="0"/>
    <s v="Angioplasty"/>
    <n v="15000"/>
    <n v="36"/>
    <s v="Yes"/>
    <x v="0"/>
    <n v="3"/>
    <x v="0"/>
    <x v="4"/>
    <x v="1"/>
  </r>
  <r>
    <n v="467"/>
    <x v="15"/>
    <x v="1"/>
    <x v="1"/>
    <s v="Insulin Therapy"/>
    <n v="2000"/>
    <n v="34"/>
    <s v="No"/>
    <x v="1"/>
    <n v="4"/>
    <x v="2"/>
    <x v="4"/>
    <x v="0"/>
  </r>
  <r>
    <n v="468"/>
    <x v="16"/>
    <x v="0"/>
    <x v="2"/>
    <s v="X-Ray and Splint"/>
    <n v="500"/>
    <n v="32"/>
    <s v="Yes"/>
    <x v="0"/>
    <n v="5"/>
    <x v="1"/>
    <x v="4"/>
    <x v="0"/>
  </r>
  <r>
    <n v="469"/>
    <x v="17"/>
    <x v="1"/>
    <x v="3"/>
    <s v="CT Scan and Medication"/>
    <n v="10000"/>
    <n v="39"/>
    <s v="No"/>
    <x v="1"/>
    <n v="2"/>
    <x v="2"/>
    <x v="4"/>
    <x v="2"/>
  </r>
  <r>
    <n v="470"/>
    <x v="18"/>
    <x v="0"/>
    <x v="4"/>
    <s v="Surgery and Chemotherapy"/>
    <n v="25000"/>
    <n v="41"/>
    <s v="Yes"/>
    <x v="0"/>
    <n v="4"/>
    <x v="0"/>
    <x v="4"/>
    <x v="0"/>
  </r>
  <r>
    <n v="471"/>
    <x v="19"/>
    <x v="1"/>
    <x v="5"/>
    <s v="Medication and Counseling"/>
    <n v="1000"/>
    <n v="33"/>
    <s v="No"/>
    <x v="1"/>
    <n v="4"/>
    <x v="2"/>
    <x v="4"/>
    <x v="0"/>
  </r>
  <r>
    <n v="472"/>
    <x v="1"/>
    <x v="0"/>
    <x v="6"/>
    <s v="Appendectomy"/>
    <n v="8000"/>
    <n v="35"/>
    <s v="Yes"/>
    <x v="0"/>
    <n v="3"/>
    <x v="0"/>
    <x v="4"/>
    <x v="1"/>
  </r>
  <r>
    <n v="473"/>
    <x v="0"/>
    <x v="1"/>
    <x v="7"/>
    <s v="Cast and Physical Therapy"/>
    <n v="3000"/>
    <n v="37"/>
    <s v="No"/>
    <x v="0"/>
    <n v="4"/>
    <x v="0"/>
    <x v="4"/>
    <x v="0"/>
  </r>
  <r>
    <n v="474"/>
    <x v="3"/>
    <x v="0"/>
    <x v="8"/>
    <s v="Cardiac Catheterization"/>
    <n v="18000"/>
    <n v="39"/>
    <s v="Yes"/>
    <x v="1"/>
    <n v="2"/>
    <x v="2"/>
    <x v="4"/>
    <x v="2"/>
  </r>
  <r>
    <n v="475"/>
    <x v="20"/>
    <x v="1"/>
    <x v="9"/>
    <s v="Epinephrine Injection"/>
    <n v="100"/>
    <n v="32"/>
    <s v="No"/>
    <x v="0"/>
    <n v="5"/>
    <x v="1"/>
    <x v="4"/>
    <x v="0"/>
  </r>
  <r>
    <n v="476"/>
    <x v="13"/>
    <x v="0"/>
    <x v="10"/>
    <s v="Antibiotics and Rest"/>
    <n v="800"/>
    <n v="33"/>
    <s v="No"/>
    <x v="1"/>
    <n v="4"/>
    <x v="0"/>
    <x v="4"/>
    <x v="0"/>
  </r>
  <r>
    <n v="477"/>
    <x v="21"/>
    <x v="1"/>
    <x v="11"/>
    <s v="Radiation Therapy"/>
    <n v="20000"/>
    <n v="40"/>
    <s v="No"/>
    <x v="0"/>
    <n v="3"/>
    <x v="2"/>
    <x v="4"/>
    <x v="1"/>
  </r>
  <r>
    <n v="479"/>
    <x v="4"/>
    <x v="1"/>
    <x v="13"/>
    <s v="Lithotripsy"/>
    <n v="6000"/>
    <n v="35"/>
    <s v="No"/>
    <x v="0"/>
    <n v="3"/>
    <x v="0"/>
    <x v="4"/>
    <x v="1"/>
  </r>
  <r>
    <n v="480"/>
    <x v="1"/>
    <x v="0"/>
    <x v="14"/>
    <s v="Physical Therapy and Pain Management"/>
    <n v="4000"/>
    <n v="36"/>
    <s v="No"/>
    <x v="1"/>
    <n v="4"/>
    <x v="0"/>
    <x v="4"/>
    <x v="0"/>
  </r>
  <r>
    <n v="481"/>
    <x v="10"/>
    <x v="0"/>
    <x v="0"/>
    <s v="Angioplasty"/>
    <n v="15000"/>
    <n v="37"/>
    <s v="Yes"/>
    <x v="0"/>
    <n v="4"/>
    <x v="0"/>
    <x v="4"/>
    <x v="0"/>
  </r>
  <r>
    <n v="482"/>
    <x v="11"/>
    <x v="1"/>
    <x v="1"/>
    <s v="Insulin Therapy"/>
    <n v="2000"/>
    <n v="35"/>
    <s v="No"/>
    <x v="1"/>
    <n v="3"/>
    <x v="2"/>
    <x v="4"/>
    <x v="1"/>
  </r>
  <r>
    <n v="483"/>
    <x v="12"/>
    <x v="0"/>
    <x v="2"/>
    <s v="X-Ray and Splint"/>
    <n v="500"/>
    <n v="33"/>
    <s v="No"/>
    <x v="0"/>
    <n v="5"/>
    <x v="1"/>
    <x v="4"/>
    <x v="0"/>
  </r>
  <r>
    <n v="484"/>
    <x v="8"/>
    <x v="1"/>
    <x v="3"/>
    <s v="CT Scan and Medication"/>
    <n v="10000"/>
    <n v="40"/>
    <s v="Yes"/>
    <x v="1"/>
    <n v="2"/>
    <x v="2"/>
    <x v="4"/>
    <x v="2"/>
  </r>
  <r>
    <n v="485"/>
    <x v="6"/>
    <x v="0"/>
    <x v="4"/>
    <s v="Surgery and Chemotherapy"/>
    <n v="25000"/>
    <n v="42"/>
    <s v="No"/>
    <x v="0"/>
    <n v="4"/>
    <x v="0"/>
    <x v="4"/>
    <x v="0"/>
  </r>
  <r>
    <n v="486"/>
    <x v="5"/>
    <x v="1"/>
    <x v="5"/>
    <s v="Medication and Counseling"/>
    <n v="1000"/>
    <n v="34"/>
    <s v="No"/>
    <x v="1"/>
    <n v="4"/>
    <x v="2"/>
    <x v="4"/>
    <x v="0"/>
  </r>
  <r>
    <n v="487"/>
    <x v="0"/>
    <x v="0"/>
    <x v="6"/>
    <s v="Appendectomy"/>
    <n v="8000"/>
    <n v="36"/>
    <s v="No"/>
    <x v="0"/>
    <n v="3"/>
    <x v="0"/>
    <x v="4"/>
    <x v="1"/>
  </r>
  <r>
    <n v="488"/>
    <x v="7"/>
    <x v="1"/>
    <x v="7"/>
    <s v="Cast and Physical Therapy"/>
    <n v="3000"/>
    <n v="38"/>
    <s v="No"/>
    <x v="0"/>
    <n v="4"/>
    <x v="0"/>
    <x v="4"/>
    <x v="0"/>
  </r>
  <r>
    <n v="489"/>
    <x v="17"/>
    <x v="0"/>
    <x v="8"/>
    <s v="Cardiac Catheterization"/>
    <n v="18000"/>
    <n v="40"/>
    <s v="Yes"/>
    <x v="1"/>
    <n v="2"/>
    <x v="2"/>
    <x v="4"/>
    <x v="2"/>
  </r>
  <r>
    <n v="490"/>
    <x v="9"/>
    <x v="1"/>
    <x v="9"/>
    <s v="Epinephrine Injection"/>
    <n v="100"/>
    <n v="33"/>
    <s v="No"/>
    <x v="0"/>
    <n v="5"/>
    <x v="1"/>
    <x v="4"/>
    <x v="0"/>
  </r>
  <r>
    <n v="491"/>
    <x v="13"/>
    <x v="0"/>
    <x v="10"/>
    <s v="Antibiotics and Rest"/>
    <n v="800"/>
    <n v="34"/>
    <s v="No"/>
    <x v="1"/>
    <n v="4"/>
    <x v="0"/>
    <x v="4"/>
    <x v="0"/>
  </r>
  <r>
    <n v="492"/>
    <x v="14"/>
    <x v="1"/>
    <x v="11"/>
    <s v="Radiation Therapy"/>
    <n v="20000"/>
    <n v="41"/>
    <s v="No"/>
    <x v="0"/>
    <n v="3"/>
    <x v="0"/>
    <x v="4"/>
    <x v="1"/>
  </r>
  <r>
    <n v="493"/>
    <x v="2"/>
    <x v="0"/>
    <x v="12"/>
    <s v="Delivery and Postnatal Care"/>
    <n v="12000"/>
    <n v="35"/>
    <s v="No"/>
    <x v="0"/>
    <n v="4"/>
    <x v="1"/>
    <x v="4"/>
    <x v="0"/>
  </r>
  <r>
    <n v="494"/>
    <x v="6"/>
    <x v="1"/>
    <x v="13"/>
    <s v="Lithotripsy"/>
    <n v="6000"/>
    <n v="36"/>
    <s v="No"/>
    <x v="0"/>
    <n v="3"/>
    <x v="0"/>
    <x v="4"/>
    <x v="1"/>
  </r>
  <r>
    <n v="495"/>
    <x v="11"/>
    <x v="0"/>
    <x v="14"/>
    <s v="Physical Therapy and Pain Management"/>
    <n v="4000"/>
    <n v="37"/>
    <s v="No"/>
    <x v="1"/>
    <n v="4"/>
    <x v="2"/>
    <x v="4"/>
    <x v="0"/>
  </r>
  <r>
    <n v="496"/>
    <x v="6"/>
    <x v="0"/>
    <x v="0"/>
    <s v="Angioplasty"/>
    <n v="15000"/>
    <n v="38"/>
    <s v="Yes"/>
    <x v="0"/>
    <n v="3"/>
    <x v="0"/>
    <x v="4"/>
    <x v="1"/>
  </r>
  <r>
    <n v="497"/>
    <x v="15"/>
    <x v="1"/>
    <x v="1"/>
    <s v="Insulin Therapy"/>
    <n v="2000"/>
    <n v="36"/>
    <s v="No"/>
    <x v="1"/>
    <n v="4"/>
    <x v="2"/>
    <x v="4"/>
    <x v="0"/>
  </r>
  <r>
    <n v="498"/>
    <x v="16"/>
    <x v="0"/>
    <x v="2"/>
    <s v="X-Ray and Splint"/>
    <n v="500"/>
    <n v="34"/>
    <s v="Yes"/>
    <x v="0"/>
    <n v="5"/>
    <x v="1"/>
    <x v="4"/>
    <x v="0"/>
  </r>
  <r>
    <n v="499"/>
    <x v="17"/>
    <x v="1"/>
    <x v="3"/>
    <s v="CT Scan and Medication"/>
    <n v="10000"/>
    <n v="41"/>
    <s v="No"/>
    <x v="1"/>
    <n v="2"/>
    <x v="2"/>
    <x v="4"/>
    <x v="2"/>
  </r>
  <r>
    <n v="500"/>
    <x v="18"/>
    <x v="0"/>
    <x v="4"/>
    <s v="Surgery and Chemotherapy"/>
    <n v="25000"/>
    <n v="43"/>
    <s v="Yes"/>
    <x v="0"/>
    <n v="4"/>
    <x v="0"/>
    <x v="4"/>
    <x v="0"/>
  </r>
  <r>
    <n v="501"/>
    <x v="19"/>
    <x v="1"/>
    <x v="5"/>
    <s v="Medication and Counseling"/>
    <n v="1000"/>
    <n v="35"/>
    <s v="No"/>
    <x v="1"/>
    <n v="4"/>
    <x v="2"/>
    <x v="4"/>
    <x v="0"/>
  </r>
  <r>
    <n v="502"/>
    <x v="1"/>
    <x v="0"/>
    <x v="6"/>
    <s v="Appendectomy"/>
    <n v="8000"/>
    <n v="37"/>
    <s v="Yes"/>
    <x v="0"/>
    <n v="3"/>
    <x v="0"/>
    <x v="4"/>
    <x v="1"/>
  </r>
  <r>
    <n v="503"/>
    <x v="0"/>
    <x v="1"/>
    <x v="7"/>
    <s v="Cast and Physical Therapy"/>
    <n v="3000"/>
    <n v="39"/>
    <s v="No"/>
    <x v="0"/>
    <n v="4"/>
    <x v="0"/>
    <x v="4"/>
    <x v="0"/>
  </r>
  <r>
    <n v="504"/>
    <x v="3"/>
    <x v="0"/>
    <x v="8"/>
    <s v="Cardiac Catheterization"/>
    <n v="18000"/>
    <n v="41"/>
    <s v="Yes"/>
    <x v="1"/>
    <n v="2"/>
    <x v="2"/>
    <x v="4"/>
    <x v="2"/>
  </r>
  <r>
    <n v="505"/>
    <x v="20"/>
    <x v="1"/>
    <x v="9"/>
    <s v="Epinephrine Injection"/>
    <n v="100"/>
    <n v="34"/>
    <s v="No"/>
    <x v="0"/>
    <n v="5"/>
    <x v="1"/>
    <x v="4"/>
    <x v="0"/>
  </r>
  <r>
    <n v="506"/>
    <x v="13"/>
    <x v="0"/>
    <x v="10"/>
    <s v="Antibiotics and Rest"/>
    <n v="800"/>
    <n v="35"/>
    <s v="No"/>
    <x v="1"/>
    <n v="4"/>
    <x v="0"/>
    <x v="4"/>
    <x v="0"/>
  </r>
  <r>
    <n v="507"/>
    <x v="21"/>
    <x v="1"/>
    <x v="11"/>
    <s v="Radiation Therapy"/>
    <n v="20000"/>
    <n v="42"/>
    <s v="No"/>
    <x v="0"/>
    <n v="3"/>
    <x v="2"/>
    <x v="4"/>
    <x v="1"/>
  </r>
  <r>
    <n v="508"/>
    <x v="16"/>
    <x v="0"/>
    <x v="12"/>
    <s v="Delivery and Postnatal Care"/>
    <n v="12000"/>
    <n v="36"/>
    <s v="No"/>
    <x v="0"/>
    <n v="4"/>
    <x v="1"/>
    <x v="4"/>
    <x v="0"/>
  </r>
  <r>
    <n v="509"/>
    <x v="4"/>
    <x v="1"/>
    <x v="13"/>
    <s v="Lithotripsy"/>
    <n v="6000"/>
    <n v="37"/>
    <s v="No"/>
    <x v="0"/>
    <n v="3"/>
    <x v="0"/>
    <x v="4"/>
    <x v="1"/>
  </r>
  <r>
    <n v="510"/>
    <x v="1"/>
    <x v="0"/>
    <x v="14"/>
    <s v="Physical Therapy and Pain Management"/>
    <n v="4000"/>
    <n v="38"/>
    <s v="No"/>
    <x v="1"/>
    <n v="4"/>
    <x v="0"/>
    <x v="4"/>
    <x v="0"/>
  </r>
  <r>
    <n v="511"/>
    <x v="10"/>
    <x v="0"/>
    <x v="0"/>
    <s v="Angioplasty"/>
    <n v="15000"/>
    <n v="39"/>
    <s v="Yes"/>
    <x v="0"/>
    <n v="4"/>
    <x v="0"/>
    <x v="4"/>
    <x v="0"/>
  </r>
  <r>
    <n v="512"/>
    <x v="11"/>
    <x v="1"/>
    <x v="1"/>
    <s v="Insulin Therapy"/>
    <n v="2000"/>
    <n v="37"/>
    <s v="No"/>
    <x v="1"/>
    <n v="3"/>
    <x v="2"/>
    <x v="4"/>
    <x v="1"/>
  </r>
  <r>
    <n v="513"/>
    <x v="12"/>
    <x v="0"/>
    <x v="2"/>
    <s v="X-Ray and Splint"/>
    <n v="500"/>
    <n v="35"/>
    <s v="No"/>
    <x v="0"/>
    <n v="5"/>
    <x v="1"/>
    <x v="4"/>
    <x v="0"/>
  </r>
  <r>
    <n v="514"/>
    <x v="8"/>
    <x v="1"/>
    <x v="3"/>
    <s v="CT Scan and Medication"/>
    <n v="10000"/>
    <n v="42"/>
    <s v="Yes"/>
    <x v="1"/>
    <n v="2"/>
    <x v="2"/>
    <x v="4"/>
    <x v="2"/>
  </r>
  <r>
    <n v="515"/>
    <x v="6"/>
    <x v="0"/>
    <x v="4"/>
    <s v="Surgery and Chemotherapy"/>
    <n v="25000"/>
    <n v="44"/>
    <s v="No"/>
    <x v="0"/>
    <n v="4"/>
    <x v="0"/>
    <x v="4"/>
    <x v="0"/>
  </r>
  <r>
    <n v="516"/>
    <x v="5"/>
    <x v="1"/>
    <x v="5"/>
    <s v="Medication and Counseling"/>
    <n v="1000"/>
    <n v="36"/>
    <s v="No"/>
    <x v="1"/>
    <n v="4"/>
    <x v="2"/>
    <x v="4"/>
    <x v="0"/>
  </r>
  <r>
    <n v="517"/>
    <x v="0"/>
    <x v="0"/>
    <x v="6"/>
    <s v="Appendectomy"/>
    <n v="8000"/>
    <n v="38"/>
    <s v="No"/>
    <x v="0"/>
    <n v="3"/>
    <x v="0"/>
    <x v="4"/>
    <x v="1"/>
  </r>
  <r>
    <n v="518"/>
    <x v="7"/>
    <x v="1"/>
    <x v="7"/>
    <s v="Cast and Physical Therapy"/>
    <n v="3000"/>
    <n v="40"/>
    <s v="No"/>
    <x v="0"/>
    <n v="4"/>
    <x v="0"/>
    <x v="4"/>
    <x v="0"/>
  </r>
  <r>
    <n v="519"/>
    <x v="17"/>
    <x v="0"/>
    <x v="8"/>
    <s v="Cardiac Catheterization"/>
    <n v="18000"/>
    <n v="42"/>
    <s v="Yes"/>
    <x v="1"/>
    <n v="2"/>
    <x v="2"/>
    <x v="4"/>
    <x v="2"/>
  </r>
  <r>
    <n v="520"/>
    <x v="9"/>
    <x v="1"/>
    <x v="9"/>
    <s v="Epinephrine Injection"/>
    <n v="100"/>
    <n v="35"/>
    <s v="No"/>
    <x v="0"/>
    <n v="5"/>
    <x v="1"/>
    <x v="4"/>
    <x v="0"/>
  </r>
  <r>
    <n v="521"/>
    <x v="13"/>
    <x v="0"/>
    <x v="10"/>
    <s v="Antibiotics and Rest"/>
    <n v="800"/>
    <n v="36"/>
    <s v="No"/>
    <x v="1"/>
    <n v="4"/>
    <x v="0"/>
    <x v="4"/>
    <x v="0"/>
  </r>
  <r>
    <n v="522"/>
    <x v="14"/>
    <x v="1"/>
    <x v="11"/>
    <s v="Radiation Therapy"/>
    <n v="20000"/>
    <n v="43"/>
    <s v="No"/>
    <x v="0"/>
    <n v="3"/>
    <x v="0"/>
    <x v="4"/>
    <x v="1"/>
  </r>
  <r>
    <n v="523"/>
    <x v="2"/>
    <x v="0"/>
    <x v="12"/>
    <s v="Delivery and Postnatal Care"/>
    <n v="12000"/>
    <n v="37"/>
    <s v="No"/>
    <x v="0"/>
    <n v="4"/>
    <x v="1"/>
    <x v="4"/>
    <x v="0"/>
  </r>
  <r>
    <n v="524"/>
    <x v="6"/>
    <x v="1"/>
    <x v="13"/>
    <s v="Lithotripsy"/>
    <n v="6000"/>
    <n v="38"/>
    <s v="No"/>
    <x v="0"/>
    <n v="3"/>
    <x v="0"/>
    <x v="4"/>
    <x v="1"/>
  </r>
  <r>
    <n v="525"/>
    <x v="11"/>
    <x v="0"/>
    <x v="14"/>
    <s v="Physical Therapy and Pain Management"/>
    <n v="4000"/>
    <n v="39"/>
    <s v="No"/>
    <x v="1"/>
    <n v="4"/>
    <x v="2"/>
    <x v="4"/>
    <x v="0"/>
  </r>
  <r>
    <n v="526"/>
    <x v="6"/>
    <x v="0"/>
    <x v="0"/>
    <s v="Angioplasty"/>
    <n v="15000"/>
    <n v="40"/>
    <s v="Yes"/>
    <x v="0"/>
    <n v="3"/>
    <x v="0"/>
    <x v="4"/>
    <x v="1"/>
  </r>
  <r>
    <n v="527"/>
    <x v="15"/>
    <x v="1"/>
    <x v="1"/>
    <s v="Insulin Therapy"/>
    <n v="2000"/>
    <n v="38"/>
    <s v="No"/>
    <x v="1"/>
    <n v="4"/>
    <x v="2"/>
    <x v="4"/>
    <x v="0"/>
  </r>
  <r>
    <n v="528"/>
    <x v="16"/>
    <x v="0"/>
    <x v="2"/>
    <s v="X-Ray and Splint"/>
    <n v="500"/>
    <n v="36"/>
    <s v="Yes"/>
    <x v="0"/>
    <n v="5"/>
    <x v="1"/>
    <x v="4"/>
    <x v="0"/>
  </r>
  <r>
    <n v="529"/>
    <x v="17"/>
    <x v="1"/>
    <x v="3"/>
    <s v="CT Scan and Medication"/>
    <n v="10000"/>
    <n v="43"/>
    <s v="No"/>
    <x v="1"/>
    <n v="2"/>
    <x v="2"/>
    <x v="4"/>
    <x v="2"/>
  </r>
  <r>
    <n v="530"/>
    <x v="18"/>
    <x v="0"/>
    <x v="4"/>
    <s v="Surgery and Chemotherapy"/>
    <n v="25000"/>
    <n v="45"/>
    <s v="Yes"/>
    <x v="0"/>
    <n v="4"/>
    <x v="0"/>
    <x v="4"/>
    <x v="0"/>
  </r>
  <r>
    <n v="531"/>
    <x v="19"/>
    <x v="1"/>
    <x v="5"/>
    <s v="Medication and Counseling"/>
    <n v="1000"/>
    <n v="38"/>
    <s v="No"/>
    <x v="1"/>
    <n v="4"/>
    <x v="2"/>
    <x v="4"/>
    <x v="0"/>
  </r>
  <r>
    <n v="532"/>
    <x v="1"/>
    <x v="0"/>
    <x v="6"/>
    <s v="Appendectomy"/>
    <n v="8000"/>
    <n v="39"/>
    <s v="Yes"/>
    <x v="0"/>
    <n v="3"/>
    <x v="0"/>
    <x v="4"/>
    <x v="1"/>
  </r>
  <r>
    <n v="533"/>
    <x v="0"/>
    <x v="1"/>
    <x v="7"/>
    <s v="Cast and Physical Therapy"/>
    <n v="3000"/>
    <n v="41"/>
    <s v="No"/>
    <x v="0"/>
    <n v="4"/>
    <x v="0"/>
    <x v="4"/>
    <x v="0"/>
  </r>
  <r>
    <n v="534"/>
    <x v="3"/>
    <x v="0"/>
    <x v="8"/>
    <s v="Cardiac Catheterization"/>
    <n v="18000"/>
    <n v="43"/>
    <s v="Yes"/>
    <x v="1"/>
    <n v="2"/>
    <x v="2"/>
    <x v="4"/>
    <x v="2"/>
  </r>
  <r>
    <n v="535"/>
    <x v="20"/>
    <x v="1"/>
    <x v="9"/>
    <s v="Epinephrine Injection"/>
    <n v="100"/>
    <n v="36"/>
    <s v="No"/>
    <x v="0"/>
    <n v="5"/>
    <x v="1"/>
    <x v="4"/>
    <x v="0"/>
  </r>
  <r>
    <n v="536"/>
    <x v="13"/>
    <x v="0"/>
    <x v="10"/>
    <s v="Antibiotics and Rest"/>
    <n v="800"/>
    <n v="37"/>
    <s v="No"/>
    <x v="1"/>
    <n v="4"/>
    <x v="0"/>
    <x v="4"/>
    <x v="0"/>
  </r>
  <r>
    <n v="537"/>
    <x v="21"/>
    <x v="1"/>
    <x v="11"/>
    <s v="Radiation Therapy"/>
    <n v="20000"/>
    <n v="44"/>
    <s v="No"/>
    <x v="0"/>
    <n v="3"/>
    <x v="2"/>
    <x v="4"/>
    <x v="1"/>
  </r>
  <r>
    <n v="538"/>
    <x v="16"/>
    <x v="0"/>
    <x v="12"/>
    <s v="Delivery and Postnatal Care"/>
    <n v="12000"/>
    <n v="38"/>
    <s v="No"/>
    <x v="0"/>
    <n v="4"/>
    <x v="1"/>
    <x v="4"/>
    <x v="0"/>
  </r>
  <r>
    <n v="540"/>
    <x v="1"/>
    <x v="0"/>
    <x v="14"/>
    <s v="Physical Therapy and Pain Management"/>
    <n v="4000"/>
    <n v="40"/>
    <s v="No"/>
    <x v="1"/>
    <n v="4"/>
    <x v="0"/>
    <x v="4"/>
    <x v="0"/>
  </r>
  <r>
    <n v="541"/>
    <x v="10"/>
    <x v="0"/>
    <x v="0"/>
    <s v="Angioplasty"/>
    <n v="15000"/>
    <n v="41"/>
    <s v="Yes"/>
    <x v="0"/>
    <n v="4"/>
    <x v="0"/>
    <x v="4"/>
    <x v="0"/>
  </r>
  <r>
    <n v="542"/>
    <x v="11"/>
    <x v="1"/>
    <x v="1"/>
    <s v="Insulin Therapy"/>
    <n v="2000"/>
    <n v="39"/>
    <s v="No"/>
    <x v="1"/>
    <n v="3"/>
    <x v="2"/>
    <x v="4"/>
    <x v="1"/>
  </r>
  <r>
    <n v="543"/>
    <x v="12"/>
    <x v="0"/>
    <x v="2"/>
    <s v="X-Ray and Splint"/>
    <n v="500"/>
    <n v="37"/>
    <s v="No"/>
    <x v="0"/>
    <n v="5"/>
    <x v="1"/>
    <x v="4"/>
    <x v="0"/>
  </r>
  <r>
    <n v="544"/>
    <x v="8"/>
    <x v="1"/>
    <x v="3"/>
    <s v="CT Scan and Medication"/>
    <n v="10000"/>
    <n v="44"/>
    <s v="Yes"/>
    <x v="1"/>
    <n v="2"/>
    <x v="2"/>
    <x v="4"/>
    <x v="2"/>
  </r>
  <r>
    <n v="545"/>
    <x v="6"/>
    <x v="0"/>
    <x v="4"/>
    <s v="Surgery and Chemotherapy"/>
    <n v="25000"/>
    <n v="46"/>
    <s v="No"/>
    <x v="0"/>
    <n v="4"/>
    <x v="0"/>
    <x v="4"/>
    <x v="0"/>
  </r>
  <r>
    <n v="546"/>
    <x v="5"/>
    <x v="1"/>
    <x v="5"/>
    <s v="Medication and Counseling"/>
    <n v="1000"/>
    <n v="40"/>
    <s v="No"/>
    <x v="1"/>
    <n v="4"/>
    <x v="2"/>
    <x v="4"/>
    <x v="0"/>
  </r>
  <r>
    <n v="547"/>
    <x v="0"/>
    <x v="0"/>
    <x v="6"/>
    <s v="Appendectomy"/>
    <n v="8000"/>
    <n v="42"/>
    <s v="No"/>
    <x v="0"/>
    <n v="3"/>
    <x v="0"/>
    <x v="4"/>
    <x v="1"/>
  </r>
  <r>
    <n v="548"/>
    <x v="7"/>
    <x v="1"/>
    <x v="7"/>
    <s v="Cast and Physical Therapy"/>
    <n v="3000"/>
    <n v="42"/>
    <s v="No"/>
    <x v="0"/>
    <n v="4"/>
    <x v="0"/>
    <x v="4"/>
    <x v="0"/>
  </r>
  <r>
    <n v="549"/>
    <x v="17"/>
    <x v="0"/>
    <x v="8"/>
    <s v="Cardiac Catheterization"/>
    <n v="18000"/>
    <n v="44"/>
    <s v="Yes"/>
    <x v="1"/>
    <n v="2"/>
    <x v="2"/>
    <x v="4"/>
    <x v="2"/>
  </r>
  <r>
    <n v="550"/>
    <x v="9"/>
    <x v="1"/>
    <x v="9"/>
    <s v="Epinephrine Injection"/>
    <n v="100"/>
    <n v="37"/>
    <s v="No"/>
    <x v="0"/>
    <n v="5"/>
    <x v="1"/>
    <x v="4"/>
    <x v="0"/>
  </r>
  <r>
    <n v="551"/>
    <x v="13"/>
    <x v="0"/>
    <x v="10"/>
    <s v="Antibiotics and Rest"/>
    <n v="800"/>
    <n v="38"/>
    <s v="No"/>
    <x v="1"/>
    <n v="4"/>
    <x v="0"/>
    <x v="4"/>
    <x v="0"/>
  </r>
  <r>
    <n v="552"/>
    <x v="14"/>
    <x v="1"/>
    <x v="11"/>
    <s v="Radiation Therapy"/>
    <n v="20000"/>
    <n v="45"/>
    <s v="No"/>
    <x v="0"/>
    <n v="3"/>
    <x v="0"/>
    <x v="4"/>
    <x v="1"/>
  </r>
  <r>
    <n v="553"/>
    <x v="2"/>
    <x v="0"/>
    <x v="12"/>
    <s v="Delivery and Postnatal Care"/>
    <n v="12000"/>
    <n v="39"/>
    <s v="No"/>
    <x v="0"/>
    <n v="4"/>
    <x v="1"/>
    <x v="4"/>
    <x v="0"/>
  </r>
  <r>
    <n v="554"/>
    <x v="6"/>
    <x v="1"/>
    <x v="13"/>
    <s v="Lithotripsy"/>
    <n v="6000"/>
    <n v="40"/>
    <s v="No"/>
    <x v="0"/>
    <n v="3"/>
    <x v="0"/>
    <x v="4"/>
    <x v="1"/>
  </r>
  <r>
    <n v="555"/>
    <x v="11"/>
    <x v="0"/>
    <x v="14"/>
    <s v="Physical Therapy and Pain Management"/>
    <n v="4000"/>
    <n v="41"/>
    <s v="No"/>
    <x v="1"/>
    <n v="4"/>
    <x v="2"/>
    <x v="4"/>
    <x v="0"/>
  </r>
  <r>
    <n v="556"/>
    <x v="6"/>
    <x v="0"/>
    <x v="0"/>
    <s v="Angioplasty"/>
    <n v="15000"/>
    <n v="42"/>
    <s v="Yes"/>
    <x v="0"/>
    <n v="3"/>
    <x v="0"/>
    <x v="4"/>
    <x v="1"/>
  </r>
  <r>
    <n v="557"/>
    <x v="15"/>
    <x v="1"/>
    <x v="1"/>
    <s v="Insulin Therapy"/>
    <n v="2000"/>
    <n v="40"/>
    <s v="No"/>
    <x v="1"/>
    <n v="4"/>
    <x v="2"/>
    <x v="4"/>
    <x v="0"/>
  </r>
  <r>
    <n v="558"/>
    <x v="16"/>
    <x v="0"/>
    <x v="2"/>
    <s v="X-Ray and Splint"/>
    <n v="500"/>
    <n v="38"/>
    <s v="Yes"/>
    <x v="0"/>
    <n v="5"/>
    <x v="1"/>
    <x v="4"/>
    <x v="0"/>
  </r>
  <r>
    <n v="559"/>
    <x v="17"/>
    <x v="1"/>
    <x v="3"/>
    <s v="CT Scan and Medication"/>
    <n v="10000"/>
    <n v="45"/>
    <s v="No"/>
    <x v="1"/>
    <n v="2"/>
    <x v="2"/>
    <x v="4"/>
    <x v="2"/>
  </r>
  <r>
    <n v="560"/>
    <x v="18"/>
    <x v="0"/>
    <x v="4"/>
    <s v="Surgery and Chemotherapy"/>
    <n v="25000"/>
    <n v="47"/>
    <s v="Yes"/>
    <x v="0"/>
    <n v="4"/>
    <x v="0"/>
    <x v="4"/>
    <x v="0"/>
  </r>
  <r>
    <n v="561"/>
    <x v="19"/>
    <x v="1"/>
    <x v="5"/>
    <s v="Medication and Counseling"/>
    <n v="1000"/>
    <n v="41"/>
    <s v="No"/>
    <x v="1"/>
    <n v="4"/>
    <x v="2"/>
    <x v="4"/>
    <x v="0"/>
  </r>
  <r>
    <n v="562"/>
    <x v="1"/>
    <x v="0"/>
    <x v="6"/>
    <s v="Appendectomy"/>
    <n v="8000"/>
    <n v="43"/>
    <s v="Yes"/>
    <x v="0"/>
    <n v="3"/>
    <x v="0"/>
    <x v="4"/>
    <x v="1"/>
  </r>
  <r>
    <n v="563"/>
    <x v="0"/>
    <x v="1"/>
    <x v="7"/>
    <s v="Cast and Physical Therapy"/>
    <n v="3000"/>
    <n v="43"/>
    <s v="No"/>
    <x v="0"/>
    <n v="4"/>
    <x v="0"/>
    <x v="4"/>
    <x v="0"/>
  </r>
  <r>
    <n v="564"/>
    <x v="3"/>
    <x v="0"/>
    <x v="8"/>
    <s v="Cardiac Catheterization"/>
    <n v="18000"/>
    <n v="45"/>
    <s v="Yes"/>
    <x v="1"/>
    <n v="2"/>
    <x v="2"/>
    <x v="4"/>
    <x v="2"/>
  </r>
  <r>
    <n v="565"/>
    <x v="20"/>
    <x v="1"/>
    <x v="9"/>
    <s v="Epinephrine Injection"/>
    <n v="100"/>
    <n v="38"/>
    <s v="No"/>
    <x v="0"/>
    <n v="5"/>
    <x v="1"/>
    <x v="4"/>
    <x v="0"/>
  </r>
  <r>
    <n v="566"/>
    <x v="13"/>
    <x v="0"/>
    <x v="10"/>
    <s v="Antibiotics and Rest"/>
    <n v="800"/>
    <n v="39"/>
    <s v="No"/>
    <x v="1"/>
    <n v="4"/>
    <x v="0"/>
    <x v="4"/>
    <x v="0"/>
  </r>
  <r>
    <n v="567"/>
    <x v="21"/>
    <x v="1"/>
    <x v="11"/>
    <s v="Radiation Therapy"/>
    <n v="20000"/>
    <n v="46"/>
    <s v="No"/>
    <x v="0"/>
    <n v="3"/>
    <x v="2"/>
    <x v="4"/>
    <x v="1"/>
  </r>
  <r>
    <n v="568"/>
    <x v="16"/>
    <x v="0"/>
    <x v="12"/>
    <s v="Delivery and Postnatal Care"/>
    <n v="12000"/>
    <n v="40"/>
    <s v="No"/>
    <x v="0"/>
    <n v="4"/>
    <x v="1"/>
    <x v="4"/>
    <x v="0"/>
  </r>
  <r>
    <n v="569"/>
    <x v="4"/>
    <x v="1"/>
    <x v="13"/>
    <s v="Lithotripsy"/>
    <n v="6000"/>
    <n v="41"/>
    <s v="No"/>
    <x v="0"/>
    <n v="3"/>
    <x v="0"/>
    <x v="4"/>
    <x v="1"/>
  </r>
  <r>
    <n v="570"/>
    <x v="1"/>
    <x v="0"/>
    <x v="14"/>
    <s v="Physical Therapy and Pain Management"/>
    <n v="4000"/>
    <n v="42"/>
    <s v="No"/>
    <x v="1"/>
    <n v="4"/>
    <x v="0"/>
    <x v="4"/>
    <x v="0"/>
  </r>
  <r>
    <n v="571"/>
    <x v="10"/>
    <x v="0"/>
    <x v="0"/>
    <s v="Angioplasty"/>
    <n v="15000"/>
    <n v="43"/>
    <s v="Yes"/>
    <x v="0"/>
    <n v="4"/>
    <x v="0"/>
    <x v="4"/>
    <x v="0"/>
  </r>
  <r>
    <n v="572"/>
    <x v="11"/>
    <x v="1"/>
    <x v="1"/>
    <s v="Insulin Therapy"/>
    <n v="2000"/>
    <n v="41"/>
    <s v="No"/>
    <x v="1"/>
    <n v="3"/>
    <x v="2"/>
    <x v="4"/>
    <x v="1"/>
  </r>
  <r>
    <n v="573"/>
    <x v="12"/>
    <x v="0"/>
    <x v="2"/>
    <s v="X-Ray and Splint"/>
    <n v="500"/>
    <n v="39"/>
    <s v="No"/>
    <x v="0"/>
    <n v="5"/>
    <x v="1"/>
    <x v="4"/>
    <x v="0"/>
  </r>
  <r>
    <n v="574"/>
    <x v="8"/>
    <x v="1"/>
    <x v="3"/>
    <s v="CT Scan and Medication"/>
    <n v="10000"/>
    <n v="46"/>
    <s v="Yes"/>
    <x v="1"/>
    <n v="2"/>
    <x v="2"/>
    <x v="4"/>
    <x v="2"/>
  </r>
  <r>
    <n v="575"/>
    <x v="6"/>
    <x v="0"/>
    <x v="4"/>
    <s v="Surgery and Chemotherapy"/>
    <n v="25000"/>
    <n v="48"/>
    <s v="No"/>
    <x v="0"/>
    <n v="4"/>
    <x v="0"/>
    <x v="4"/>
    <x v="0"/>
  </r>
  <r>
    <n v="576"/>
    <x v="5"/>
    <x v="1"/>
    <x v="5"/>
    <s v="Medication and Counseling"/>
    <n v="1000"/>
    <n v="42"/>
    <s v="No"/>
    <x v="1"/>
    <n v="4"/>
    <x v="2"/>
    <x v="4"/>
    <x v="0"/>
  </r>
  <r>
    <n v="577"/>
    <x v="0"/>
    <x v="0"/>
    <x v="6"/>
    <s v="Appendectomy"/>
    <n v="8000"/>
    <n v="44"/>
    <s v="No"/>
    <x v="0"/>
    <n v="3"/>
    <x v="0"/>
    <x v="4"/>
    <x v="1"/>
  </r>
  <r>
    <n v="578"/>
    <x v="7"/>
    <x v="1"/>
    <x v="7"/>
    <s v="Cast and Physical Therapy"/>
    <n v="3000"/>
    <n v="44"/>
    <s v="No"/>
    <x v="0"/>
    <n v="4"/>
    <x v="0"/>
    <x v="4"/>
    <x v="0"/>
  </r>
  <r>
    <n v="579"/>
    <x v="17"/>
    <x v="0"/>
    <x v="8"/>
    <s v="Cardiac Catheterization"/>
    <n v="18000"/>
    <n v="46"/>
    <s v="Yes"/>
    <x v="1"/>
    <n v="2"/>
    <x v="2"/>
    <x v="4"/>
    <x v="2"/>
  </r>
  <r>
    <n v="580"/>
    <x v="9"/>
    <x v="1"/>
    <x v="9"/>
    <s v="Epinephrine Injection"/>
    <n v="100"/>
    <n v="39"/>
    <s v="No"/>
    <x v="0"/>
    <n v="5"/>
    <x v="1"/>
    <x v="4"/>
    <x v="0"/>
  </r>
  <r>
    <n v="581"/>
    <x v="13"/>
    <x v="0"/>
    <x v="10"/>
    <s v="Antibiotics and Rest"/>
    <n v="800"/>
    <n v="40"/>
    <s v="No"/>
    <x v="1"/>
    <n v="4"/>
    <x v="0"/>
    <x v="4"/>
    <x v="0"/>
  </r>
  <r>
    <n v="582"/>
    <x v="14"/>
    <x v="1"/>
    <x v="11"/>
    <s v="Radiation Therapy"/>
    <n v="20000"/>
    <n v="47"/>
    <s v="No"/>
    <x v="0"/>
    <n v="3"/>
    <x v="0"/>
    <x v="4"/>
    <x v="1"/>
  </r>
  <r>
    <n v="583"/>
    <x v="2"/>
    <x v="0"/>
    <x v="12"/>
    <s v="Delivery and Postnatal Care"/>
    <n v="12000"/>
    <n v="41"/>
    <s v="No"/>
    <x v="0"/>
    <n v="4"/>
    <x v="1"/>
    <x v="4"/>
    <x v="0"/>
  </r>
  <r>
    <n v="584"/>
    <x v="6"/>
    <x v="1"/>
    <x v="13"/>
    <s v="Lithotripsy"/>
    <n v="6000"/>
    <n v="42"/>
    <s v="No"/>
    <x v="0"/>
    <n v="3"/>
    <x v="0"/>
    <x v="4"/>
    <x v="1"/>
  </r>
  <r>
    <n v="585"/>
    <x v="11"/>
    <x v="0"/>
    <x v="14"/>
    <s v="Physical Therapy and Pain Management"/>
    <n v="4000"/>
    <n v="43"/>
    <s v="No"/>
    <x v="1"/>
    <n v="4"/>
    <x v="2"/>
    <x v="4"/>
    <x v="0"/>
  </r>
  <r>
    <n v="586"/>
    <x v="6"/>
    <x v="0"/>
    <x v="0"/>
    <s v="Angioplasty"/>
    <n v="15000"/>
    <n v="44"/>
    <s v="Yes"/>
    <x v="0"/>
    <n v="3"/>
    <x v="0"/>
    <x v="4"/>
    <x v="1"/>
  </r>
  <r>
    <n v="587"/>
    <x v="15"/>
    <x v="1"/>
    <x v="1"/>
    <s v="Insulin Therapy"/>
    <n v="2000"/>
    <n v="42"/>
    <s v="No"/>
    <x v="1"/>
    <n v="4"/>
    <x v="2"/>
    <x v="4"/>
    <x v="0"/>
  </r>
  <r>
    <n v="588"/>
    <x v="16"/>
    <x v="0"/>
    <x v="2"/>
    <s v="X-Ray and Splint"/>
    <n v="500"/>
    <n v="40"/>
    <s v="Yes"/>
    <x v="0"/>
    <n v="5"/>
    <x v="1"/>
    <x v="4"/>
    <x v="0"/>
  </r>
  <r>
    <n v="589"/>
    <x v="17"/>
    <x v="1"/>
    <x v="3"/>
    <s v="CT Scan and Medication"/>
    <n v="10000"/>
    <n v="47"/>
    <s v="No"/>
    <x v="1"/>
    <n v="2"/>
    <x v="2"/>
    <x v="4"/>
    <x v="2"/>
  </r>
  <r>
    <n v="590"/>
    <x v="18"/>
    <x v="0"/>
    <x v="4"/>
    <s v="Surgery and Chemotherapy"/>
    <n v="25000"/>
    <n v="49"/>
    <s v="Yes"/>
    <x v="0"/>
    <n v="4"/>
    <x v="0"/>
    <x v="4"/>
    <x v="0"/>
  </r>
  <r>
    <n v="591"/>
    <x v="19"/>
    <x v="1"/>
    <x v="5"/>
    <s v="Medication and Counseling"/>
    <n v="1000"/>
    <n v="43"/>
    <s v="No"/>
    <x v="1"/>
    <n v="4"/>
    <x v="2"/>
    <x v="4"/>
    <x v="0"/>
  </r>
  <r>
    <n v="592"/>
    <x v="1"/>
    <x v="0"/>
    <x v="6"/>
    <s v="Appendectomy"/>
    <n v="8000"/>
    <n v="45"/>
    <s v="Yes"/>
    <x v="0"/>
    <n v="3"/>
    <x v="0"/>
    <x v="4"/>
    <x v="1"/>
  </r>
  <r>
    <n v="593"/>
    <x v="0"/>
    <x v="1"/>
    <x v="7"/>
    <s v="Cast and Physical Therapy"/>
    <n v="3000"/>
    <n v="45"/>
    <s v="No"/>
    <x v="0"/>
    <n v="4"/>
    <x v="0"/>
    <x v="4"/>
    <x v="0"/>
  </r>
  <r>
    <n v="594"/>
    <x v="3"/>
    <x v="0"/>
    <x v="8"/>
    <s v="Cardiac Catheterization"/>
    <n v="18000"/>
    <n v="47"/>
    <s v="Yes"/>
    <x v="1"/>
    <n v="2"/>
    <x v="2"/>
    <x v="4"/>
    <x v="2"/>
  </r>
  <r>
    <n v="595"/>
    <x v="20"/>
    <x v="1"/>
    <x v="9"/>
    <s v="Epinephrine Injection"/>
    <n v="100"/>
    <n v="40"/>
    <s v="No"/>
    <x v="0"/>
    <n v="5"/>
    <x v="1"/>
    <x v="4"/>
    <x v="0"/>
  </r>
  <r>
    <n v="596"/>
    <x v="13"/>
    <x v="0"/>
    <x v="10"/>
    <s v="Antibiotics and Rest"/>
    <n v="800"/>
    <n v="41"/>
    <s v="No"/>
    <x v="1"/>
    <n v="4"/>
    <x v="0"/>
    <x v="4"/>
    <x v="0"/>
  </r>
  <r>
    <n v="597"/>
    <x v="21"/>
    <x v="1"/>
    <x v="11"/>
    <s v="Radiation Therapy"/>
    <n v="20000"/>
    <n v="48"/>
    <s v="No"/>
    <x v="0"/>
    <n v="3"/>
    <x v="2"/>
    <x v="4"/>
    <x v="1"/>
  </r>
  <r>
    <n v="598"/>
    <x v="16"/>
    <x v="0"/>
    <x v="12"/>
    <s v="Delivery and Postnatal Care"/>
    <n v="12000"/>
    <n v="42"/>
    <s v="No"/>
    <x v="0"/>
    <n v="4"/>
    <x v="1"/>
    <x v="4"/>
    <x v="0"/>
  </r>
  <r>
    <n v="599"/>
    <x v="4"/>
    <x v="1"/>
    <x v="13"/>
    <s v="Lithotripsy"/>
    <n v="6000"/>
    <n v="43"/>
    <s v="No"/>
    <x v="0"/>
    <n v="3"/>
    <x v="0"/>
    <x v="4"/>
    <x v="1"/>
  </r>
  <r>
    <n v="601"/>
    <x v="10"/>
    <x v="0"/>
    <x v="0"/>
    <s v="Angioplasty"/>
    <n v="15000"/>
    <n v="45"/>
    <s v="Yes"/>
    <x v="0"/>
    <n v="4"/>
    <x v="0"/>
    <x v="4"/>
    <x v="0"/>
  </r>
  <r>
    <n v="602"/>
    <x v="11"/>
    <x v="1"/>
    <x v="1"/>
    <s v="Insulin Therapy"/>
    <n v="2000"/>
    <n v="43"/>
    <s v="No"/>
    <x v="1"/>
    <n v="3"/>
    <x v="2"/>
    <x v="4"/>
    <x v="1"/>
  </r>
  <r>
    <n v="603"/>
    <x v="12"/>
    <x v="0"/>
    <x v="2"/>
    <s v="X-Ray and Splint"/>
    <n v="500"/>
    <n v="41"/>
    <s v="No"/>
    <x v="0"/>
    <n v="5"/>
    <x v="1"/>
    <x v="4"/>
    <x v="0"/>
  </r>
  <r>
    <n v="604"/>
    <x v="8"/>
    <x v="1"/>
    <x v="3"/>
    <s v="CT Scan and Medication"/>
    <n v="10000"/>
    <n v="48"/>
    <s v="Yes"/>
    <x v="1"/>
    <n v="2"/>
    <x v="2"/>
    <x v="4"/>
    <x v="2"/>
  </r>
  <r>
    <n v="605"/>
    <x v="6"/>
    <x v="0"/>
    <x v="4"/>
    <s v="Surgery and Chemotherapy"/>
    <n v="25000"/>
    <n v="50"/>
    <s v="No"/>
    <x v="0"/>
    <n v="4"/>
    <x v="0"/>
    <x v="4"/>
    <x v="0"/>
  </r>
  <r>
    <n v="606"/>
    <x v="5"/>
    <x v="1"/>
    <x v="5"/>
    <s v="Medication and Counseling"/>
    <n v="1000"/>
    <n v="44"/>
    <s v="No"/>
    <x v="1"/>
    <n v="4"/>
    <x v="2"/>
    <x v="4"/>
    <x v="0"/>
  </r>
  <r>
    <n v="607"/>
    <x v="0"/>
    <x v="0"/>
    <x v="6"/>
    <s v="Appendectomy"/>
    <n v="8000"/>
    <n v="46"/>
    <s v="No"/>
    <x v="0"/>
    <n v="3"/>
    <x v="0"/>
    <x v="4"/>
    <x v="1"/>
  </r>
  <r>
    <n v="608"/>
    <x v="7"/>
    <x v="1"/>
    <x v="7"/>
    <s v="Cast and Physical Therapy"/>
    <n v="3000"/>
    <n v="46"/>
    <s v="No"/>
    <x v="0"/>
    <n v="4"/>
    <x v="0"/>
    <x v="4"/>
    <x v="0"/>
  </r>
  <r>
    <n v="609"/>
    <x v="17"/>
    <x v="0"/>
    <x v="8"/>
    <s v="Cardiac Catheterization"/>
    <n v="18000"/>
    <n v="48"/>
    <s v="Yes"/>
    <x v="1"/>
    <n v="2"/>
    <x v="2"/>
    <x v="4"/>
    <x v="2"/>
  </r>
  <r>
    <n v="610"/>
    <x v="9"/>
    <x v="1"/>
    <x v="9"/>
    <s v="Epinephrine Injection"/>
    <n v="100"/>
    <n v="41"/>
    <s v="No"/>
    <x v="0"/>
    <n v="5"/>
    <x v="1"/>
    <x v="4"/>
    <x v="0"/>
  </r>
  <r>
    <n v="611"/>
    <x v="13"/>
    <x v="0"/>
    <x v="10"/>
    <s v="Antibiotics and Rest"/>
    <n v="800"/>
    <n v="42"/>
    <s v="No"/>
    <x v="1"/>
    <n v="4"/>
    <x v="0"/>
    <x v="4"/>
    <x v="0"/>
  </r>
  <r>
    <n v="612"/>
    <x v="14"/>
    <x v="1"/>
    <x v="11"/>
    <s v="Radiation Therapy"/>
    <n v="20000"/>
    <n v="49"/>
    <s v="No"/>
    <x v="0"/>
    <n v="3"/>
    <x v="0"/>
    <x v="4"/>
    <x v="1"/>
  </r>
  <r>
    <n v="613"/>
    <x v="2"/>
    <x v="0"/>
    <x v="12"/>
    <s v="Delivery and Postnatal Care"/>
    <n v="12000"/>
    <n v="43"/>
    <s v="No"/>
    <x v="0"/>
    <n v="4"/>
    <x v="1"/>
    <x v="4"/>
    <x v="0"/>
  </r>
  <r>
    <n v="614"/>
    <x v="6"/>
    <x v="1"/>
    <x v="13"/>
    <s v="Lithotripsy"/>
    <n v="6000"/>
    <n v="44"/>
    <s v="No"/>
    <x v="0"/>
    <n v="3"/>
    <x v="0"/>
    <x v="4"/>
    <x v="1"/>
  </r>
  <r>
    <n v="615"/>
    <x v="11"/>
    <x v="0"/>
    <x v="14"/>
    <s v="Physical Therapy and Pain Management"/>
    <n v="4000"/>
    <n v="45"/>
    <s v="No"/>
    <x v="1"/>
    <n v="4"/>
    <x v="2"/>
    <x v="4"/>
    <x v="0"/>
  </r>
  <r>
    <n v="616"/>
    <x v="6"/>
    <x v="0"/>
    <x v="0"/>
    <s v="Angioplasty"/>
    <n v="15000"/>
    <n v="46"/>
    <s v="Yes"/>
    <x v="0"/>
    <n v="3"/>
    <x v="0"/>
    <x v="4"/>
    <x v="1"/>
  </r>
  <r>
    <n v="617"/>
    <x v="15"/>
    <x v="1"/>
    <x v="1"/>
    <s v="Insulin Therapy"/>
    <n v="2000"/>
    <n v="44"/>
    <s v="No"/>
    <x v="1"/>
    <n v="4"/>
    <x v="2"/>
    <x v="4"/>
    <x v="0"/>
  </r>
  <r>
    <n v="618"/>
    <x v="16"/>
    <x v="0"/>
    <x v="2"/>
    <s v="X-Ray and Splint"/>
    <n v="500"/>
    <n v="42"/>
    <s v="Yes"/>
    <x v="0"/>
    <n v="5"/>
    <x v="1"/>
    <x v="4"/>
    <x v="0"/>
  </r>
  <r>
    <n v="619"/>
    <x v="17"/>
    <x v="1"/>
    <x v="3"/>
    <s v="CT Scan and Medication"/>
    <n v="10000"/>
    <n v="49"/>
    <s v="No"/>
    <x v="1"/>
    <n v="2"/>
    <x v="2"/>
    <x v="4"/>
    <x v="2"/>
  </r>
  <r>
    <n v="620"/>
    <x v="18"/>
    <x v="0"/>
    <x v="4"/>
    <s v="Surgery and Chemotherapy"/>
    <n v="25000"/>
    <n v="51"/>
    <s v="Yes"/>
    <x v="0"/>
    <n v="4"/>
    <x v="0"/>
    <x v="4"/>
    <x v="0"/>
  </r>
  <r>
    <n v="621"/>
    <x v="19"/>
    <x v="1"/>
    <x v="5"/>
    <s v="Medication and Counseling"/>
    <n v="1000"/>
    <n v="45"/>
    <s v="No"/>
    <x v="1"/>
    <n v="4"/>
    <x v="2"/>
    <x v="4"/>
    <x v="0"/>
  </r>
  <r>
    <n v="622"/>
    <x v="1"/>
    <x v="0"/>
    <x v="6"/>
    <s v="Appendectomy"/>
    <n v="8000"/>
    <n v="47"/>
    <s v="Yes"/>
    <x v="0"/>
    <n v="3"/>
    <x v="0"/>
    <x v="4"/>
    <x v="1"/>
  </r>
  <r>
    <n v="623"/>
    <x v="0"/>
    <x v="1"/>
    <x v="7"/>
    <s v="Cast and Physical Therapy"/>
    <n v="3000"/>
    <n v="47"/>
    <s v="No"/>
    <x v="0"/>
    <n v="4"/>
    <x v="0"/>
    <x v="4"/>
    <x v="0"/>
  </r>
  <r>
    <n v="624"/>
    <x v="3"/>
    <x v="0"/>
    <x v="8"/>
    <s v="Cardiac Catheterization"/>
    <n v="18000"/>
    <n v="49"/>
    <s v="Yes"/>
    <x v="1"/>
    <n v="2"/>
    <x v="2"/>
    <x v="4"/>
    <x v="2"/>
  </r>
  <r>
    <n v="625"/>
    <x v="20"/>
    <x v="1"/>
    <x v="9"/>
    <s v="Epinephrine Injection"/>
    <n v="100"/>
    <n v="42"/>
    <s v="No"/>
    <x v="0"/>
    <n v="5"/>
    <x v="1"/>
    <x v="4"/>
    <x v="0"/>
  </r>
  <r>
    <n v="626"/>
    <x v="13"/>
    <x v="0"/>
    <x v="10"/>
    <s v="Antibiotics and Rest"/>
    <n v="800"/>
    <n v="43"/>
    <s v="No"/>
    <x v="1"/>
    <n v="4"/>
    <x v="0"/>
    <x v="4"/>
    <x v="0"/>
  </r>
  <r>
    <n v="627"/>
    <x v="21"/>
    <x v="1"/>
    <x v="11"/>
    <s v="Radiation Therapy"/>
    <n v="20000"/>
    <n v="50"/>
    <s v="No"/>
    <x v="0"/>
    <n v="3"/>
    <x v="2"/>
    <x v="4"/>
    <x v="1"/>
  </r>
  <r>
    <n v="628"/>
    <x v="16"/>
    <x v="0"/>
    <x v="12"/>
    <s v="Delivery and Postnatal Care"/>
    <n v="12000"/>
    <n v="44"/>
    <s v="No"/>
    <x v="0"/>
    <n v="4"/>
    <x v="1"/>
    <x v="4"/>
    <x v="0"/>
  </r>
  <r>
    <n v="629"/>
    <x v="4"/>
    <x v="1"/>
    <x v="13"/>
    <s v="Lithotripsy"/>
    <n v="6000"/>
    <n v="45"/>
    <s v="No"/>
    <x v="0"/>
    <n v="3"/>
    <x v="0"/>
    <x v="4"/>
    <x v="1"/>
  </r>
  <r>
    <n v="630"/>
    <x v="1"/>
    <x v="0"/>
    <x v="14"/>
    <s v="Physical Therapy and Pain Management"/>
    <n v="4000"/>
    <n v="46"/>
    <s v="No"/>
    <x v="1"/>
    <n v="4"/>
    <x v="0"/>
    <x v="4"/>
    <x v="0"/>
  </r>
  <r>
    <n v="631"/>
    <x v="10"/>
    <x v="0"/>
    <x v="0"/>
    <s v="Angioplasty"/>
    <n v="15000"/>
    <n v="47"/>
    <s v="Yes"/>
    <x v="0"/>
    <n v="4"/>
    <x v="0"/>
    <x v="4"/>
    <x v="0"/>
  </r>
  <r>
    <n v="632"/>
    <x v="11"/>
    <x v="1"/>
    <x v="1"/>
    <s v="Insulin Therapy"/>
    <n v="2000"/>
    <n v="45"/>
    <s v="No"/>
    <x v="1"/>
    <n v="3"/>
    <x v="2"/>
    <x v="4"/>
    <x v="1"/>
  </r>
  <r>
    <n v="633"/>
    <x v="12"/>
    <x v="0"/>
    <x v="2"/>
    <s v="X-Ray and Splint"/>
    <n v="500"/>
    <n v="43"/>
    <s v="No"/>
    <x v="0"/>
    <n v="5"/>
    <x v="1"/>
    <x v="4"/>
    <x v="0"/>
  </r>
  <r>
    <n v="634"/>
    <x v="8"/>
    <x v="1"/>
    <x v="3"/>
    <s v="CT Scan and Medication"/>
    <n v="10000"/>
    <n v="50"/>
    <s v="Yes"/>
    <x v="1"/>
    <n v="2"/>
    <x v="2"/>
    <x v="4"/>
    <x v="2"/>
  </r>
  <r>
    <n v="635"/>
    <x v="6"/>
    <x v="0"/>
    <x v="4"/>
    <s v="Surgery and Chemotherapy"/>
    <n v="25000"/>
    <n v="52"/>
    <s v="No"/>
    <x v="0"/>
    <n v="4"/>
    <x v="0"/>
    <x v="4"/>
    <x v="0"/>
  </r>
  <r>
    <n v="636"/>
    <x v="5"/>
    <x v="1"/>
    <x v="5"/>
    <s v="Medication and Counseling"/>
    <n v="1000"/>
    <n v="46"/>
    <s v="No"/>
    <x v="1"/>
    <n v="4"/>
    <x v="2"/>
    <x v="4"/>
    <x v="0"/>
  </r>
  <r>
    <n v="637"/>
    <x v="0"/>
    <x v="0"/>
    <x v="6"/>
    <s v="Appendectomy"/>
    <n v="8000"/>
    <n v="48"/>
    <s v="No"/>
    <x v="0"/>
    <n v="3"/>
    <x v="0"/>
    <x v="4"/>
    <x v="1"/>
  </r>
  <r>
    <n v="638"/>
    <x v="7"/>
    <x v="1"/>
    <x v="7"/>
    <s v="Cast and Physical Therapy"/>
    <n v="3000"/>
    <n v="48"/>
    <s v="No"/>
    <x v="0"/>
    <n v="4"/>
    <x v="0"/>
    <x v="4"/>
    <x v="0"/>
  </r>
  <r>
    <n v="639"/>
    <x v="17"/>
    <x v="0"/>
    <x v="8"/>
    <s v="Cardiac Catheterization"/>
    <n v="18000"/>
    <n v="50"/>
    <s v="Yes"/>
    <x v="1"/>
    <n v="2"/>
    <x v="2"/>
    <x v="4"/>
    <x v="2"/>
  </r>
  <r>
    <n v="640"/>
    <x v="9"/>
    <x v="1"/>
    <x v="9"/>
    <s v="Epinephrine Injection"/>
    <n v="100"/>
    <n v="43"/>
    <s v="No"/>
    <x v="0"/>
    <n v="5"/>
    <x v="1"/>
    <x v="4"/>
    <x v="0"/>
  </r>
  <r>
    <n v="641"/>
    <x v="13"/>
    <x v="0"/>
    <x v="10"/>
    <s v="Antibiotics and Rest"/>
    <n v="800"/>
    <n v="44"/>
    <s v="No"/>
    <x v="1"/>
    <n v="4"/>
    <x v="0"/>
    <x v="4"/>
    <x v="0"/>
  </r>
  <r>
    <n v="642"/>
    <x v="14"/>
    <x v="1"/>
    <x v="11"/>
    <s v="Radiation Therapy"/>
    <n v="20000"/>
    <n v="51"/>
    <s v="No"/>
    <x v="0"/>
    <n v="3"/>
    <x v="0"/>
    <x v="4"/>
    <x v="1"/>
  </r>
  <r>
    <n v="643"/>
    <x v="2"/>
    <x v="0"/>
    <x v="12"/>
    <s v="Delivery and Postnatal Care"/>
    <n v="12000"/>
    <n v="45"/>
    <s v="No"/>
    <x v="0"/>
    <n v="4"/>
    <x v="1"/>
    <x v="4"/>
    <x v="0"/>
  </r>
  <r>
    <n v="644"/>
    <x v="6"/>
    <x v="1"/>
    <x v="13"/>
    <s v="Lithotripsy"/>
    <n v="6000"/>
    <n v="46"/>
    <s v="No"/>
    <x v="0"/>
    <n v="3"/>
    <x v="0"/>
    <x v="4"/>
    <x v="1"/>
  </r>
  <r>
    <n v="645"/>
    <x v="11"/>
    <x v="0"/>
    <x v="14"/>
    <s v="Physical Therapy and Pain Management"/>
    <n v="4000"/>
    <n v="47"/>
    <s v="No"/>
    <x v="1"/>
    <n v="4"/>
    <x v="2"/>
    <x v="4"/>
    <x v="0"/>
  </r>
  <r>
    <n v="646"/>
    <x v="6"/>
    <x v="0"/>
    <x v="0"/>
    <s v="Angioplasty"/>
    <n v="15000"/>
    <n v="48"/>
    <s v="Yes"/>
    <x v="0"/>
    <n v="3"/>
    <x v="0"/>
    <x v="4"/>
    <x v="1"/>
  </r>
  <r>
    <n v="647"/>
    <x v="15"/>
    <x v="1"/>
    <x v="1"/>
    <s v="Insulin Therapy"/>
    <n v="2000"/>
    <n v="46"/>
    <s v="No"/>
    <x v="1"/>
    <n v="4"/>
    <x v="2"/>
    <x v="4"/>
    <x v="0"/>
  </r>
  <r>
    <n v="648"/>
    <x v="16"/>
    <x v="0"/>
    <x v="2"/>
    <s v="X-Ray and Splint"/>
    <n v="500"/>
    <n v="44"/>
    <s v="Yes"/>
    <x v="0"/>
    <n v="5"/>
    <x v="1"/>
    <x v="4"/>
    <x v="0"/>
  </r>
  <r>
    <n v="649"/>
    <x v="17"/>
    <x v="1"/>
    <x v="3"/>
    <s v="CT Scan and Medication"/>
    <n v="10000"/>
    <n v="51"/>
    <s v="No"/>
    <x v="1"/>
    <n v="2"/>
    <x v="2"/>
    <x v="4"/>
    <x v="2"/>
  </r>
  <r>
    <n v="650"/>
    <x v="18"/>
    <x v="0"/>
    <x v="4"/>
    <s v="Surgery and Chemotherapy"/>
    <n v="25000"/>
    <n v="53"/>
    <s v="Yes"/>
    <x v="0"/>
    <n v="4"/>
    <x v="0"/>
    <x v="4"/>
    <x v="0"/>
  </r>
  <r>
    <n v="651"/>
    <x v="19"/>
    <x v="1"/>
    <x v="5"/>
    <s v="Medication and Counseling"/>
    <n v="1000"/>
    <n v="47"/>
    <s v="No"/>
    <x v="1"/>
    <n v="4"/>
    <x v="2"/>
    <x v="4"/>
    <x v="0"/>
  </r>
  <r>
    <n v="652"/>
    <x v="1"/>
    <x v="0"/>
    <x v="6"/>
    <s v="Appendectomy"/>
    <n v="8000"/>
    <n v="49"/>
    <s v="Yes"/>
    <x v="0"/>
    <n v="3"/>
    <x v="0"/>
    <x v="4"/>
    <x v="1"/>
  </r>
  <r>
    <n v="653"/>
    <x v="0"/>
    <x v="1"/>
    <x v="7"/>
    <s v="Cast and Physical Therapy"/>
    <n v="3000"/>
    <n v="49"/>
    <s v="No"/>
    <x v="0"/>
    <n v="4"/>
    <x v="0"/>
    <x v="4"/>
    <x v="0"/>
  </r>
  <r>
    <n v="654"/>
    <x v="3"/>
    <x v="0"/>
    <x v="8"/>
    <s v="Cardiac Catheterization"/>
    <n v="18000"/>
    <n v="51"/>
    <s v="Yes"/>
    <x v="1"/>
    <n v="2"/>
    <x v="2"/>
    <x v="4"/>
    <x v="2"/>
  </r>
  <r>
    <n v="655"/>
    <x v="20"/>
    <x v="1"/>
    <x v="9"/>
    <s v="Epinephrine Injection"/>
    <n v="100"/>
    <n v="44"/>
    <s v="No"/>
    <x v="0"/>
    <n v="5"/>
    <x v="1"/>
    <x v="4"/>
    <x v="0"/>
  </r>
  <r>
    <n v="656"/>
    <x v="13"/>
    <x v="0"/>
    <x v="10"/>
    <s v="Antibiotics and Rest"/>
    <n v="800"/>
    <n v="45"/>
    <s v="No"/>
    <x v="1"/>
    <n v="4"/>
    <x v="0"/>
    <x v="4"/>
    <x v="0"/>
  </r>
  <r>
    <n v="657"/>
    <x v="21"/>
    <x v="1"/>
    <x v="11"/>
    <s v="Radiation Therapy"/>
    <n v="20000"/>
    <n v="52"/>
    <s v="No"/>
    <x v="0"/>
    <n v="3"/>
    <x v="2"/>
    <x v="4"/>
    <x v="1"/>
  </r>
  <r>
    <n v="658"/>
    <x v="16"/>
    <x v="0"/>
    <x v="12"/>
    <s v="Delivery and Postnatal Care"/>
    <n v="12000"/>
    <n v="46"/>
    <s v="No"/>
    <x v="0"/>
    <n v="4"/>
    <x v="1"/>
    <x v="4"/>
    <x v="0"/>
  </r>
  <r>
    <n v="659"/>
    <x v="4"/>
    <x v="1"/>
    <x v="13"/>
    <s v="Lithotripsy"/>
    <n v="6000"/>
    <n v="47"/>
    <s v="No"/>
    <x v="0"/>
    <n v="3"/>
    <x v="0"/>
    <x v="4"/>
    <x v="1"/>
  </r>
  <r>
    <n v="660"/>
    <x v="1"/>
    <x v="0"/>
    <x v="14"/>
    <s v="Physical Therapy and Pain Management"/>
    <n v="4000"/>
    <n v="48"/>
    <s v="No"/>
    <x v="1"/>
    <n v="4"/>
    <x v="0"/>
    <x v="4"/>
    <x v="0"/>
  </r>
  <r>
    <n v="662"/>
    <x v="11"/>
    <x v="1"/>
    <x v="1"/>
    <s v="Insulin Therapy"/>
    <n v="2000"/>
    <n v="47"/>
    <s v="No"/>
    <x v="1"/>
    <n v="3"/>
    <x v="2"/>
    <x v="4"/>
    <x v="1"/>
  </r>
  <r>
    <n v="663"/>
    <x v="12"/>
    <x v="0"/>
    <x v="2"/>
    <s v="X-Ray and Splint"/>
    <n v="500"/>
    <n v="45"/>
    <s v="No"/>
    <x v="0"/>
    <n v="5"/>
    <x v="1"/>
    <x v="4"/>
    <x v="0"/>
  </r>
  <r>
    <n v="664"/>
    <x v="8"/>
    <x v="1"/>
    <x v="3"/>
    <s v="CT Scan and Medication"/>
    <n v="10000"/>
    <n v="52"/>
    <s v="Yes"/>
    <x v="1"/>
    <n v="2"/>
    <x v="2"/>
    <x v="4"/>
    <x v="2"/>
  </r>
  <r>
    <n v="665"/>
    <x v="6"/>
    <x v="0"/>
    <x v="4"/>
    <s v="Surgery and Chemotherapy"/>
    <n v="25000"/>
    <n v="54"/>
    <s v="No"/>
    <x v="0"/>
    <n v="4"/>
    <x v="0"/>
    <x v="4"/>
    <x v="0"/>
  </r>
  <r>
    <n v="666"/>
    <x v="5"/>
    <x v="1"/>
    <x v="5"/>
    <s v="Medication and Counseling"/>
    <n v="1000"/>
    <n v="48"/>
    <s v="No"/>
    <x v="1"/>
    <n v="4"/>
    <x v="2"/>
    <x v="4"/>
    <x v="0"/>
  </r>
  <r>
    <n v="667"/>
    <x v="0"/>
    <x v="0"/>
    <x v="6"/>
    <s v="Appendectomy"/>
    <n v="8000"/>
    <n v="50"/>
    <s v="No"/>
    <x v="0"/>
    <n v="3"/>
    <x v="0"/>
    <x v="4"/>
    <x v="1"/>
  </r>
  <r>
    <n v="668"/>
    <x v="7"/>
    <x v="1"/>
    <x v="7"/>
    <s v="Cast and Physical Therapy"/>
    <n v="3000"/>
    <n v="50"/>
    <s v="No"/>
    <x v="0"/>
    <n v="4"/>
    <x v="0"/>
    <x v="4"/>
    <x v="0"/>
  </r>
  <r>
    <n v="669"/>
    <x v="17"/>
    <x v="0"/>
    <x v="8"/>
    <s v="Cardiac Catheterization"/>
    <n v="18000"/>
    <n v="52"/>
    <s v="Yes"/>
    <x v="1"/>
    <n v="2"/>
    <x v="2"/>
    <x v="4"/>
    <x v="2"/>
  </r>
  <r>
    <n v="670"/>
    <x v="9"/>
    <x v="1"/>
    <x v="9"/>
    <s v="Epinephrine Injection"/>
    <n v="100"/>
    <n v="45"/>
    <s v="No"/>
    <x v="0"/>
    <n v="5"/>
    <x v="1"/>
    <x v="4"/>
    <x v="0"/>
  </r>
  <r>
    <n v="671"/>
    <x v="13"/>
    <x v="0"/>
    <x v="10"/>
    <s v="Antibiotics and Rest"/>
    <n v="800"/>
    <n v="46"/>
    <s v="No"/>
    <x v="1"/>
    <n v="4"/>
    <x v="0"/>
    <x v="4"/>
    <x v="0"/>
  </r>
  <r>
    <n v="672"/>
    <x v="14"/>
    <x v="1"/>
    <x v="11"/>
    <s v="Radiation Therapy"/>
    <n v="20000"/>
    <n v="53"/>
    <s v="No"/>
    <x v="0"/>
    <n v="3"/>
    <x v="0"/>
    <x v="4"/>
    <x v="1"/>
  </r>
  <r>
    <n v="673"/>
    <x v="2"/>
    <x v="0"/>
    <x v="12"/>
    <s v="Delivery and Postnatal Care"/>
    <n v="12000"/>
    <n v="47"/>
    <s v="No"/>
    <x v="0"/>
    <n v="4"/>
    <x v="1"/>
    <x v="4"/>
    <x v="0"/>
  </r>
  <r>
    <n v="674"/>
    <x v="6"/>
    <x v="1"/>
    <x v="13"/>
    <s v="Lithotripsy"/>
    <n v="6000"/>
    <n v="48"/>
    <s v="No"/>
    <x v="0"/>
    <n v="3"/>
    <x v="0"/>
    <x v="4"/>
    <x v="1"/>
  </r>
  <r>
    <n v="675"/>
    <x v="11"/>
    <x v="0"/>
    <x v="14"/>
    <s v="Physical Therapy and Pain Management"/>
    <n v="4000"/>
    <n v="49"/>
    <s v="No"/>
    <x v="1"/>
    <n v="4"/>
    <x v="2"/>
    <x v="4"/>
    <x v="0"/>
  </r>
  <r>
    <n v="676"/>
    <x v="6"/>
    <x v="0"/>
    <x v="0"/>
    <s v="Angioplasty"/>
    <n v="15000"/>
    <n v="50"/>
    <s v="Yes"/>
    <x v="0"/>
    <n v="3"/>
    <x v="0"/>
    <x v="4"/>
    <x v="1"/>
  </r>
  <r>
    <n v="677"/>
    <x v="15"/>
    <x v="1"/>
    <x v="1"/>
    <s v="Insulin Therapy"/>
    <n v="2000"/>
    <n v="48"/>
    <s v="No"/>
    <x v="1"/>
    <n v="4"/>
    <x v="2"/>
    <x v="4"/>
    <x v="0"/>
  </r>
  <r>
    <n v="678"/>
    <x v="16"/>
    <x v="0"/>
    <x v="2"/>
    <s v="X-Ray and Splint"/>
    <n v="500"/>
    <n v="46"/>
    <s v="Yes"/>
    <x v="0"/>
    <n v="5"/>
    <x v="1"/>
    <x v="4"/>
    <x v="0"/>
  </r>
  <r>
    <n v="679"/>
    <x v="17"/>
    <x v="1"/>
    <x v="3"/>
    <s v="CT Scan and Medication"/>
    <n v="10000"/>
    <n v="53"/>
    <s v="No"/>
    <x v="1"/>
    <n v="2"/>
    <x v="2"/>
    <x v="4"/>
    <x v="2"/>
  </r>
  <r>
    <n v="680"/>
    <x v="18"/>
    <x v="0"/>
    <x v="4"/>
    <s v="Surgery and Chemotherapy"/>
    <n v="25000"/>
    <n v="55"/>
    <s v="Yes"/>
    <x v="0"/>
    <n v="4"/>
    <x v="0"/>
    <x v="4"/>
    <x v="0"/>
  </r>
  <r>
    <n v="681"/>
    <x v="19"/>
    <x v="1"/>
    <x v="5"/>
    <s v="Medication and Counseling"/>
    <n v="1000"/>
    <n v="49"/>
    <s v="No"/>
    <x v="1"/>
    <n v="4"/>
    <x v="2"/>
    <x v="4"/>
    <x v="0"/>
  </r>
  <r>
    <n v="682"/>
    <x v="1"/>
    <x v="0"/>
    <x v="6"/>
    <s v="Appendectomy"/>
    <n v="8000"/>
    <n v="51"/>
    <s v="Yes"/>
    <x v="0"/>
    <n v="3"/>
    <x v="0"/>
    <x v="4"/>
    <x v="1"/>
  </r>
  <r>
    <n v="683"/>
    <x v="0"/>
    <x v="1"/>
    <x v="7"/>
    <s v="Cast and Physical Therapy"/>
    <n v="3000"/>
    <n v="51"/>
    <s v="No"/>
    <x v="0"/>
    <n v="4"/>
    <x v="0"/>
    <x v="4"/>
    <x v="0"/>
  </r>
  <r>
    <n v="684"/>
    <x v="3"/>
    <x v="0"/>
    <x v="8"/>
    <s v="Cardiac Catheterization"/>
    <n v="18000"/>
    <n v="53"/>
    <s v="Yes"/>
    <x v="1"/>
    <n v="2"/>
    <x v="2"/>
    <x v="4"/>
    <x v="2"/>
  </r>
  <r>
    <n v="685"/>
    <x v="20"/>
    <x v="1"/>
    <x v="9"/>
    <s v="Epinephrine Injection"/>
    <n v="100"/>
    <n v="46"/>
    <s v="No"/>
    <x v="0"/>
    <n v="5"/>
    <x v="1"/>
    <x v="4"/>
    <x v="0"/>
  </r>
  <r>
    <n v="686"/>
    <x v="13"/>
    <x v="0"/>
    <x v="10"/>
    <s v="Antibiotics and Rest"/>
    <n v="800"/>
    <n v="47"/>
    <s v="No"/>
    <x v="1"/>
    <n v="4"/>
    <x v="0"/>
    <x v="4"/>
    <x v="0"/>
  </r>
  <r>
    <n v="687"/>
    <x v="21"/>
    <x v="1"/>
    <x v="11"/>
    <s v="Radiation Therapy"/>
    <n v="20000"/>
    <n v="54"/>
    <s v="No"/>
    <x v="0"/>
    <n v="3"/>
    <x v="2"/>
    <x v="4"/>
    <x v="1"/>
  </r>
  <r>
    <n v="688"/>
    <x v="16"/>
    <x v="0"/>
    <x v="12"/>
    <s v="Delivery and Postnatal Care"/>
    <n v="12000"/>
    <n v="48"/>
    <s v="No"/>
    <x v="0"/>
    <n v="4"/>
    <x v="1"/>
    <x v="4"/>
    <x v="0"/>
  </r>
  <r>
    <n v="689"/>
    <x v="4"/>
    <x v="1"/>
    <x v="13"/>
    <s v="Lithotripsy"/>
    <n v="6000"/>
    <n v="49"/>
    <s v="No"/>
    <x v="0"/>
    <n v="3"/>
    <x v="0"/>
    <x v="4"/>
    <x v="1"/>
  </r>
  <r>
    <n v="690"/>
    <x v="1"/>
    <x v="0"/>
    <x v="14"/>
    <s v="Physical Therapy and Pain Management"/>
    <n v="4000"/>
    <n v="50"/>
    <s v="No"/>
    <x v="1"/>
    <n v="4"/>
    <x v="0"/>
    <x v="4"/>
    <x v="0"/>
  </r>
  <r>
    <n v="691"/>
    <x v="10"/>
    <x v="0"/>
    <x v="0"/>
    <s v="Angioplasty"/>
    <n v="15000"/>
    <n v="51"/>
    <s v="Yes"/>
    <x v="0"/>
    <n v="4"/>
    <x v="0"/>
    <x v="4"/>
    <x v="0"/>
  </r>
  <r>
    <n v="692"/>
    <x v="11"/>
    <x v="1"/>
    <x v="1"/>
    <s v="Insulin Therapy"/>
    <n v="2000"/>
    <n v="49"/>
    <s v="No"/>
    <x v="1"/>
    <n v="3"/>
    <x v="2"/>
    <x v="4"/>
    <x v="1"/>
  </r>
  <r>
    <n v="693"/>
    <x v="12"/>
    <x v="0"/>
    <x v="2"/>
    <s v="X-Ray and Splint"/>
    <n v="500"/>
    <n v="47"/>
    <s v="No"/>
    <x v="0"/>
    <n v="5"/>
    <x v="1"/>
    <x v="4"/>
    <x v="0"/>
  </r>
  <r>
    <n v="694"/>
    <x v="8"/>
    <x v="1"/>
    <x v="3"/>
    <s v="CT Scan and Medication"/>
    <n v="10000"/>
    <n v="54"/>
    <s v="Yes"/>
    <x v="1"/>
    <n v="2"/>
    <x v="2"/>
    <x v="4"/>
    <x v="2"/>
  </r>
  <r>
    <n v="695"/>
    <x v="6"/>
    <x v="0"/>
    <x v="4"/>
    <s v="Surgery and Chemotherapy"/>
    <n v="25000"/>
    <n v="56"/>
    <s v="No"/>
    <x v="0"/>
    <n v="4"/>
    <x v="0"/>
    <x v="4"/>
    <x v="0"/>
  </r>
  <r>
    <n v="696"/>
    <x v="5"/>
    <x v="1"/>
    <x v="5"/>
    <s v="Medication and Counseling"/>
    <n v="1000"/>
    <n v="50"/>
    <s v="No"/>
    <x v="1"/>
    <n v="4"/>
    <x v="2"/>
    <x v="4"/>
    <x v="0"/>
  </r>
  <r>
    <n v="697"/>
    <x v="0"/>
    <x v="0"/>
    <x v="6"/>
    <s v="Appendectomy"/>
    <n v="8000"/>
    <n v="52"/>
    <s v="No"/>
    <x v="0"/>
    <n v="3"/>
    <x v="0"/>
    <x v="4"/>
    <x v="1"/>
  </r>
  <r>
    <n v="698"/>
    <x v="7"/>
    <x v="1"/>
    <x v="7"/>
    <s v="Cast and Physical Therapy"/>
    <n v="3000"/>
    <n v="52"/>
    <s v="No"/>
    <x v="0"/>
    <n v="4"/>
    <x v="0"/>
    <x v="4"/>
    <x v="0"/>
  </r>
  <r>
    <n v="699"/>
    <x v="17"/>
    <x v="0"/>
    <x v="8"/>
    <s v="Cardiac Catheterization"/>
    <n v="18000"/>
    <n v="54"/>
    <s v="Yes"/>
    <x v="1"/>
    <n v="2"/>
    <x v="2"/>
    <x v="4"/>
    <x v="2"/>
  </r>
  <r>
    <n v="700"/>
    <x v="9"/>
    <x v="1"/>
    <x v="9"/>
    <s v="Epinephrine Injection"/>
    <n v="100"/>
    <n v="47"/>
    <s v="No"/>
    <x v="0"/>
    <n v="5"/>
    <x v="1"/>
    <x v="4"/>
    <x v="0"/>
  </r>
  <r>
    <n v="701"/>
    <x v="13"/>
    <x v="0"/>
    <x v="10"/>
    <s v="Antibiotics and Rest"/>
    <n v="800"/>
    <n v="48"/>
    <s v="No"/>
    <x v="1"/>
    <n v="4"/>
    <x v="0"/>
    <x v="4"/>
    <x v="0"/>
  </r>
  <r>
    <n v="702"/>
    <x v="14"/>
    <x v="1"/>
    <x v="11"/>
    <s v="Radiation Therapy"/>
    <n v="20000"/>
    <n v="55"/>
    <s v="No"/>
    <x v="0"/>
    <n v="3"/>
    <x v="0"/>
    <x v="4"/>
    <x v="1"/>
  </r>
  <r>
    <n v="703"/>
    <x v="2"/>
    <x v="0"/>
    <x v="12"/>
    <s v="Delivery and Postnatal Care"/>
    <n v="12000"/>
    <n v="49"/>
    <s v="No"/>
    <x v="0"/>
    <n v="4"/>
    <x v="1"/>
    <x v="4"/>
    <x v="0"/>
  </r>
  <r>
    <n v="704"/>
    <x v="6"/>
    <x v="1"/>
    <x v="13"/>
    <s v="Lithotripsy"/>
    <n v="6000"/>
    <n v="50"/>
    <s v="No"/>
    <x v="0"/>
    <n v="3"/>
    <x v="0"/>
    <x v="4"/>
    <x v="1"/>
  </r>
  <r>
    <n v="705"/>
    <x v="11"/>
    <x v="0"/>
    <x v="14"/>
    <s v="Physical Therapy and Pain Management"/>
    <n v="4000"/>
    <n v="51"/>
    <s v="No"/>
    <x v="1"/>
    <n v="4"/>
    <x v="2"/>
    <x v="4"/>
    <x v="0"/>
  </r>
  <r>
    <n v="706"/>
    <x v="6"/>
    <x v="0"/>
    <x v="0"/>
    <s v="Angioplasty"/>
    <n v="15000"/>
    <n v="52"/>
    <s v="Yes"/>
    <x v="0"/>
    <n v="3"/>
    <x v="0"/>
    <x v="4"/>
    <x v="1"/>
  </r>
  <r>
    <n v="707"/>
    <x v="15"/>
    <x v="1"/>
    <x v="1"/>
    <s v="Insulin Therapy"/>
    <n v="2000"/>
    <n v="50"/>
    <s v="No"/>
    <x v="1"/>
    <n v="4"/>
    <x v="2"/>
    <x v="4"/>
    <x v="0"/>
  </r>
  <r>
    <n v="708"/>
    <x v="16"/>
    <x v="0"/>
    <x v="2"/>
    <s v="X-Ray and Splint"/>
    <n v="500"/>
    <n v="48"/>
    <s v="Yes"/>
    <x v="0"/>
    <n v="5"/>
    <x v="1"/>
    <x v="4"/>
    <x v="0"/>
  </r>
  <r>
    <n v="709"/>
    <x v="17"/>
    <x v="1"/>
    <x v="3"/>
    <s v="CT Scan and Medication"/>
    <n v="10000"/>
    <n v="55"/>
    <s v="No"/>
    <x v="1"/>
    <n v="2"/>
    <x v="2"/>
    <x v="4"/>
    <x v="2"/>
  </r>
  <r>
    <n v="710"/>
    <x v="18"/>
    <x v="0"/>
    <x v="4"/>
    <s v="Surgery and Chemotherapy"/>
    <n v="25000"/>
    <n v="57"/>
    <s v="Yes"/>
    <x v="0"/>
    <n v="4"/>
    <x v="0"/>
    <x v="4"/>
    <x v="0"/>
  </r>
  <r>
    <n v="711"/>
    <x v="19"/>
    <x v="1"/>
    <x v="5"/>
    <s v="Medication and Counseling"/>
    <n v="1000"/>
    <n v="51"/>
    <s v="No"/>
    <x v="1"/>
    <n v="4"/>
    <x v="2"/>
    <x v="4"/>
    <x v="0"/>
  </r>
  <r>
    <n v="712"/>
    <x v="1"/>
    <x v="0"/>
    <x v="6"/>
    <s v="Appendectomy"/>
    <n v="8000"/>
    <n v="53"/>
    <s v="Yes"/>
    <x v="0"/>
    <n v="3"/>
    <x v="0"/>
    <x v="4"/>
    <x v="1"/>
  </r>
  <r>
    <n v="713"/>
    <x v="0"/>
    <x v="1"/>
    <x v="7"/>
    <s v="Cast and Physical Therapy"/>
    <n v="3000"/>
    <n v="53"/>
    <s v="No"/>
    <x v="0"/>
    <n v="4"/>
    <x v="0"/>
    <x v="4"/>
    <x v="0"/>
  </r>
  <r>
    <n v="714"/>
    <x v="3"/>
    <x v="0"/>
    <x v="8"/>
    <s v="Cardiac Catheterization"/>
    <n v="18000"/>
    <n v="55"/>
    <s v="Yes"/>
    <x v="1"/>
    <n v="2"/>
    <x v="2"/>
    <x v="4"/>
    <x v="2"/>
  </r>
  <r>
    <n v="715"/>
    <x v="20"/>
    <x v="1"/>
    <x v="9"/>
    <s v="Epinephrine Injection"/>
    <n v="100"/>
    <n v="48"/>
    <s v="No"/>
    <x v="0"/>
    <n v="5"/>
    <x v="1"/>
    <x v="4"/>
    <x v="0"/>
  </r>
  <r>
    <n v="716"/>
    <x v="13"/>
    <x v="0"/>
    <x v="10"/>
    <s v="Antibiotics and Rest"/>
    <n v="800"/>
    <n v="49"/>
    <s v="No"/>
    <x v="1"/>
    <n v="4"/>
    <x v="0"/>
    <x v="4"/>
    <x v="0"/>
  </r>
  <r>
    <n v="717"/>
    <x v="21"/>
    <x v="1"/>
    <x v="11"/>
    <s v="Radiation Therapy"/>
    <n v="20000"/>
    <n v="56"/>
    <s v="No"/>
    <x v="0"/>
    <n v="3"/>
    <x v="2"/>
    <x v="4"/>
    <x v="1"/>
  </r>
  <r>
    <n v="718"/>
    <x v="16"/>
    <x v="0"/>
    <x v="12"/>
    <s v="Delivery and Postnatal Care"/>
    <n v="12000"/>
    <n v="50"/>
    <s v="No"/>
    <x v="0"/>
    <n v="4"/>
    <x v="1"/>
    <x v="4"/>
    <x v="0"/>
  </r>
  <r>
    <n v="719"/>
    <x v="4"/>
    <x v="1"/>
    <x v="13"/>
    <s v="Lithotripsy"/>
    <n v="6000"/>
    <n v="51"/>
    <s v="No"/>
    <x v="0"/>
    <n v="3"/>
    <x v="0"/>
    <x v="4"/>
    <x v="1"/>
  </r>
  <r>
    <n v="720"/>
    <x v="1"/>
    <x v="0"/>
    <x v="14"/>
    <s v="Physical Therapy and Pain Management"/>
    <n v="4000"/>
    <n v="52"/>
    <s v="No"/>
    <x v="1"/>
    <n v="4"/>
    <x v="0"/>
    <x v="4"/>
    <x v="0"/>
  </r>
  <r>
    <n v="721"/>
    <x v="10"/>
    <x v="0"/>
    <x v="0"/>
    <s v="Angioplasty"/>
    <n v="15000"/>
    <n v="53"/>
    <s v="Yes"/>
    <x v="0"/>
    <n v="4"/>
    <x v="0"/>
    <x v="4"/>
    <x v="0"/>
  </r>
  <r>
    <n v="723"/>
    <x v="12"/>
    <x v="0"/>
    <x v="2"/>
    <s v="X-Ray and Splint"/>
    <n v="500"/>
    <n v="49"/>
    <s v="No"/>
    <x v="0"/>
    <n v="5"/>
    <x v="1"/>
    <x v="4"/>
    <x v="0"/>
  </r>
  <r>
    <n v="724"/>
    <x v="8"/>
    <x v="1"/>
    <x v="3"/>
    <s v="CT Scan and Medication"/>
    <n v="10000"/>
    <n v="56"/>
    <s v="Yes"/>
    <x v="1"/>
    <n v="2"/>
    <x v="2"/>
    <x v="4"/>
    <x v="2"/>
  </r>
  <r>
    <n v="725"/>
    <x v="6"/>
    <x v="0"/>
    <x v="4"/>
    <s v="Surgery and Chemotherapy"/>
    <n v="25000"/>
    <n v="58"/>
    <s v="No"/>
    <x v="0"/>
    <n v="4"/>
    <x v="0"/>
    <x v="4"/>
    <x v="0"/>
  </r>
  <r>
    <n v="726"/>
    <x v="5"/>
    <x v="1"/>
    <x v="5"/>
    <s v="Medication and Counseling"/>
    <n v="1000"/>
    <n v="52"/>
    <s v="No"/>
    <x v="1"/>
    <n v="4"/>
    <x v="2"/>
    <x v="4"/>
    <x v="0"/>
  </r>
  <r>
    <n v="727"/>
    <x v="0"/>
    <x v="0"/>
    <x v="6"/>
    <s v="Appendectomy"/>
    <n v="8000"/>
    <n v="54"/>
    <s v="No"/>
    <x v="0"/>
    <n v="3"/>
    <x v="0"/>
    <x v="4"/>
    <x v="1"/>
  </r>
  <r>
    <n v="728"/>
    <x v="7"/>
    <x v="1"/>
    <x v="7"/>
    <s v="Cast and Physical Therapy"/>
    <n v="3000"/>
    <n v="54"/>
    <s v="No"/>
    <x v="0"/>
    <n v="4"/>
    <x v="0"/>
    <x v="4"/>
    <x v="0"/>
  </r>
  <r>
    <n v="729"/>
    <x v="17"/>
    <x v="0"/>
    <x v="8"/>
    <s v="Cardiac Catheterization"/>
    <n v="18000"/>
    <n v="56"/>
    <s v="Yes"/>
    <x v="1"/>
    <n v="2"/>
    <x v="2"/>
    <x v="4"/>
    <x v="2"/>
  </r>
  <r>
    <n v="730"/>
    <x v="9"/>
    <x v="1"/>
    <x v="9"/>
    <s v="Epinephrine Injection"/>
    <n v="100"/>
    <n v="49"/>
    <s v="No"/>
    <x v="0"/>
    <n v="5"/>
    <x v="1"/>
    <x v="4"/>
    <x v="0"/>
  </r>
  <r>
    <n v="731"/>
    <x v="13"/>
    <x v="0"/>
    <x v="10"/>
    <s v="Antibiotics and Rest"/>
    <n v="800"/>
    <n v="50"/>
    <s v="No"/>
    <x v="1"/>
    <n v="4"/>
    <x v="0"/>
    <x v="4"/>
    <x v="0"/>
  </r>
  <r>
    <n v="732"/>
    <x v="14"/>
    <x v="1"/>
    <x v="11"/>
    <s v="Radiation Therapy"/>
    <n v="20000"/>
    <n v="57"/>
    <s v="No"/>
    <x v="0"/>
    <n v="3"/>
    <x v="0"/>
    <x v="4"/>
    <x v="1"/>
  </r>
  <r>
    <n v="733"/>
    <x v="2"/>
    <x v="0"/>
    <x v="12"/>
    <s v="Delivery and Postnatal Care"/>
    <n v="12000"/>
    <n v="51"/>
    <s v="No"/>
    <x v="0"/>
    <n v="4"/>
    <x v="1"/>
    <x v="4"/>
    <x v="0"/>
  </r>
  <r>
    <n v="734"/>
    <x v="6"/>
    <x v="1"/>
    <x v="13"/>
    <s v="Lithotripsy"/>
    <n v="6000"/>
    <n v="52"/>
    <s v="No"/>
    <x v="0"/>
    <n v="3"/>
    <x v="0"/>
    <x v="4"/>
    <x v="1"/>
  </r>
  <r>
    <n v="735"/>
    <x v="11"/>
    <x v="0"/>
    <x v="14"/>
    <s v="Physical Therapy and Pain Management"/>
    <n v="4000"/>
    <n v="53"/>
    <s v="No"/>
    <x v="1"/>
    <n v="4"/>
    <x v="2"/>
    <x v="4"/>
    <x v="0"/>
  </r>
  <r>
    <n v="736"/>
    <x v="6"/>
    <x v="0"/>
    <x v="0"/>
    <s v="Angioplasty"/>
    <n v="15000"/>
    <n v="54"/>
    <s v="Yes"/>
    <x v="0"/>
    <n v="3"/>
    <x v="0"/>
    <x v="4"/>
    <x v="1"/>
  </r>
  <r>
    <n v="737"/>
    <x v="15"/>
    <x v="1"/>
    <x v="1"/>
    <s v="Insulin Therapy"/>
    <n v="2000"/>
    <n v="52"/>
    <s v="No"/>
    <x v="1"/>
    <n v="4"/>
    <x v="2"/>
    <x v="4"/>
    <x v="0"/>
  </r>
  <r>
    <n v="738"/>
    <x v="16"/>
    <x v="0"/>
    <x v="2"/>
    <s v="X-Ray and Splint"/>
    <n v="500"/>
    <n v="50"/>
    <s v="Yes"/>
    <x v="0"/>
    <n v="5"/>
    <x v="1"/>
    <x v="4"/>
    <x v="0"/>
  </r>
  <r>
    <n v="739"/>
    <x v="17"/>
    <x v="1"/>
    <x v="3"/>
    <s v="CT Scan and Medication"/>
    <n v="10000"/>
    <n v="57"/>
    <s v="No"/>
    <x v="1"/>
    <n v="2"/>
    <x v="2"/>
    <x v="4"/>
    <x v="2"/>
  </r>
  <r>
    <n v="740"/>
    <x v="18"/>
    <x v="0"/>
    <x v="4"/>
    <s v="Surgery and Chemotherapy"/>
    <n v="25000"/>
    <n v="59"/>
    <s v="Yes"/>
    <x v="0"/>
    <n v="4"/>
    <x v="0"/>
    <x v="4"/>
    <x v="0"/>
  </r>
  <r>
    <n v="741"/>
    <x v="19"/>
    <x v="1"/>
    <x v="5"/>
    <s v="Medication and Counseling"/>
    <n v="1000"/>
    <n v="53"/>
    <s v="No"/>
    <x v="1"/>
    <n v="4"/>
    <x v="2"/>
    <x v="4"/>
    <x v="0"/>
  </r>
  <r>
    <n v="742"/>
    <x v="1"/>
    <x v="0"/>
    <x v="6"/>
    <s v="Appendectomy"/>
    <n v="8000"/>
    <n v="55"/>
    <s v="Yes"/>
    <x v="0"/>
    <n v="3"/>
    <x v="0"/>
    <x v="4"/>
    <x v="1"/>
  </r>
  <r>
    <n v="743"/>
    <x v="0"/>
    <x v="1"/>
    <x v="7"/>
    <s v="Cast and Physical Therapy"/>
    <n v="3000"/>
    <n v="55"/>
    <s v="No"/>
    <x v="0"/>
    <n v="4"/>
    <x v="0"/>
    <x v="4"/>
    <x v="0"/>
  </r>
  <r>
    <n v="744"/>
    <x v="3"/>
    <x v="0"/>
    <x v="8"/>
    <s v="Cardiac Catheterization"/>
    <n v="18000"/>
    <n v="57"/>
    <s v="Yes"/>
    <x v="1"/>
    <n v="2"/>
    <x v="2"/>
    <x v="4"/>
    <x v="2"/>
  </r>
  <r>
    <n v="745"/>
    <x v="20"/>
    <x v="1"/>
    <x v="9"/>
    <s v="Epinephrine Injection"/>
    <n v="100"/>
    <n v="50"/>
    <s v="No"/>
    <x v="0"/>
    <n v="5"/>
    <x v="1"/>
    <x v="4"/>
    <x v="0"/>
  </r>
  <r>
    <n v="746"/>
    <x v="13"/>
    <x v="0"/>
    <x v="10"/>
    <s v="Antibiotics and Rest"/>
    <n v="800"/>
    <n v="51"/>
    <s v="No"/>
    <x v="1"/>
    <n v="4"/>
    <x v="0"/>
    <x v="4"/>
    <x v="0"/>
  </r>
  <r>
    <n v="747"/>
    <x v="21"/>
    <x v="1"/>
    <x v="11"/>
    <s v="Radiation Therapy"/>
    <n v="20000"/>
    <n v="58"/>
    <s v="No"/>
    <x v="0"/>
    <n v="3"/>
    <x v="2"/>
    <x v="4"/>
    <x v="1"/>
  </r>
  <r>
    <n v="748"/>
    <x v="16"/>
    <x v="0"/>
    <x v="12"/>
    <s v="Delivery and Postnatal Care"/>
    <n v="12000"/>
    <n v="52"/>
    <s v="No"/>
    <x v="0"/>
    <n v="4"/>
    <x v="1"/>
    <x v="4"/>
    <x v="0"/>
  </r>
  <r>
    <n v="749"/>
    <x v="4"/>
    <x v="1"/>
    <x v="13"/>
    <s v="Lithotripsy"/>
    <n v="6000"/>
    <n v="53"/>
    <s v="No"/>
    <x v="0"/>
    <n v="3"/>
    <x v="0"/>
    <x v="4"/>
    <x v="1"/>
  </r>
  <r>
    <n v="750"/>
    <x v="1"/>
    <x v="0"/>
    <x v="14"/>
    <s v="Physical Therapy and Pain Management"/>
    <n v="4000"/>
    <n v="54"/>
    <s v="No"/>
    <x v="1"/>
    <n v="4"/>
    <x v="0"/>
    <x v="4"/>
    <x v="0"/>
  </r>
  <r>
    <n v="751"/>
    <x v="10"/>
    <x v="0"/>
    <x v="0"/>
    <s v="Angioplasty"/>
    <n v="15000"/>
    <n v="55"/>
    <s v="Yes"/>
    <x v="0"/>
    <n v="4"/>
    <x v="0"/>
    <x v="4"/>
    <x v="0"/>
  </r>
  <r>
    <n v="752"/>
    <x v="11"/>
    <x v="1"/>
    <x v="1"/>
    <s v="Insulin Therapy"/>
    <n v="2000"/>
    <n v="53"/>
    <s v="No"/>
    <x v="1"/>
    <n v="3"/>
    <x v="2"/>
    <x v="4"/>
    <x v="1"/>
  </r>
  <r>
    <n v="753"/>
    <x v="12"/>
    <x v="0"/>
    <x v="2"/>
    <s v="X-Ray and Splint"/>
    <n v="500"/>
    <n v="51"/>
    <s v="No"/>
    <x v="0"/>
    <n v="5"/>
    <x v="1"/>
    <x v="4"/>
    <x v="0"/>
  </r>
  <r>
    <n v="754"/>
    <x v="8"/>
    <x v="1"/>
    <x v="3"/>
    <s v="CT Scan and Medication"/>
    <n v="10000"/>
    <n v="58"/>
    <s v="Yes"/>
    <x v="1"/>
    <n v="2"/>
    <x v="2"/>
    <x v="4"/>
    <x v="2"/>
  </r>
  <r>
    <n v="755"/>
    <x v="6"/>
    <x v="0"/>
    <x v="4"/>
    <s v="Surgery and Chemotherapy"/>
    <n v="25000"/>
    <n v="60"/>
    <s v="No"/>
    <x v="0"/>
    <n v="4"/>
    <x v="0"/>
    <x v="4"/>
    <x v="0"/>
  </r>
  <r>
    <n v="756"/>
    <x v="5"/>
    <x v="1"/>
    <x v="5"/>
    <s v="Medication and Counseling"/>
    <n v="1000"/>
    <n v="54"/>
    <s v="No"/>
    <x v="1"/>
    <n v="4"/>
    <x v="2"/>
    <x v="4"/>
    <x v="0"/>
  </r>
  <r>
    <n v="757"/>
    <x v="0"/>
    <x v="0"/>
    <x v="6"/>
    <s v="Appendectomy"/>
    <n v="8000"/>
    <n v="56"/>
    <s v="No"/>
    <x v="0"/>
    <n v="3"/>
    <x v="0"/>
    <x v="4"/>
    <x v="1"/>
  </r>
  <r>
    <n v="758"/>
    <x v="7"/>
    <x v="1"/>
    <x v="7"/>
    <s v="Cast and Physical Therapy"/>
    <n v="3000"/>
    <n v="56"/>
    <s v="No"/>
    <x v="0"/>
    <n v="4"/>
    <x v="0"/>
    <x v="4"/>
    <x v="0"/>
  </r>
  <r>
    <n v="759"/>
    <x v="17"/>
    <x v="0"/>
    <x v="8"/>
    <s v="Cardiac Catheterization"/>
    <n v="18000"/>
    <n v="58"/>
    <s v="Yes"/>
    <x v="1"/>
    <n v="2"/>
    <x v="2"/>
    <x v="4"/>
    <x v="2"/>
  </r>
  <r>
    <n v="760"/>
    <x v="9"/>
    <x v="1"/>
    <x v="9"/>
    <s v="Epinephrine Injection"/>
    <n v="100"/>
    <n v="51"/>
    <s v="No"/>
    <x v="0"/>
    <n v="5"/>
    <x v="1"/>
    <x v="4"/>
    <x v="0"/>
  </r>
  <r>
    <n v="761"/>
    <x v="13"/>
    <x v="0"/>
    <x v="10"/>
    <s v="Antibiotics and Rest"/>
    <n v="800"/>
    <n v="52"/>
    <s v="No"/>
    <x v="1"/>
    <n v="4"/>
    <x v="0"/>
    <x v="4"/>
    <x v="0"/>
  </r>
  <r>
    <n v="762"/>
    <x v="14"/>
    <x v="1"/>
    <x v="11"/>
    <s v="Radiation Therapy"/>
    <n v="20000"/>
    <n v="59"/>
    <s v="No"/>
    <x v="0"/>
    <n v="3"/>
    <x v="0"/>
    <x v="4"/>
    <x v="1"/>
  </r>
  <r>
    <n v="763"/>
    <x v="2"/>
    <x v="0"/>
    <x v="12"/>
    <s v="Delivery and Postnatal Care"/>
    <n v="12000"/>
    <n v="53"/>
    <s v="No"/>
    <x v="0"/>
    <n v="4"/>
    <x v="1"/>
    <x v="4"/>
    <x v="0"/>
  </r>
  <r>
    <n v="764"/>
    <x v="6"/>
    <x v="1"/>
    <x v="13"/>
    <s v="Lithotripsy"/>
    <n v="6000"/>
    <n v="54"/>
    <s v="No"/>
    <x v="0"/>
    <n v="3"/>
    <x v="0"/>
    <x v="4"/>
    <x v="1"/>
  </r>
  <r>
    <n v="765"/>
    <x v="11"/>
    <x v="0"/>
    <x v="14"/>
    <s v="Physical Therapy and Pain Management"/>
    <n v="4000"/>
    <n v="55"/>
    <s v="No"/>
    <x v="1"/>
    <n v="4"/>
    <x v="2"/>
    <x v="4"/>
    <x v="0"/>
  </r>
  <r>
    <n v="766"/>
    <x v="6"/>
    <x v="0"/>
    <x v="0"/>
    <s v="Angioplasty"/>
    <n v="15000"/>
    <n v="56"/>
    <s v="Yes"/>
    <x v="0"/>
    <n v="3"/>
    <x v="0"/>
    <x v="4"/>
    <x v="1"/>
  </r>
  <r>
    <n v="767"/>
    <x v="15"/>
    <x v="1"/>
    <x v="1"/>
    <s v="Insulin Therapy"/>
    <n v="2000"/>
    <n v="54"/>
    <s v="No"/>
    <x v="1"/>
    <n v="4"/>
    <x v="2"/>
    <x v="4"/>
    <x v="0"/>
  </r>
  <r>
    <n v="768"/>
    <x v="16"/>
    <x v="0"/>
    <x v="2"/>
    <s v="X-Ray and Splint"/>
    <n v="500"/>
    <n v="52"/>
    <s v="Yes"/>
    <x v="0"/>
    <n v="5"/>
    <x v="1"/>
    <x v="4"/>
    <x v="0"/>
  </r>
  <r>
    <n v="769"/>
    <x v="17"/>
    <x v="1"/>
    <x v="3"/>
    <s v="CT Scan and Medication"/>
    <n v="10000"/>
    <n v="59"/>
    <s v="No"/>
    <x v="1"/>
    <n v="2"/>
    <x v="2"/>
    <x v="4"/>
    <x v="2"/>
  </r>
  <r>
    <n v="770"/>
    <x v="18"/>
    <x v="0"/>
    <x v="4"/>
    <s v="Surgery and Chemotherapy"/>
    <n v="25000"/>
    <n v="61"/>
    <s v="Yes"/>
    <x v="0"/>
    <n v="4"/>
    <x v="0"/>
    <x v="4"/>
    <x v="0"/>
  </r>
  <r>
    <n v="771"/>
    <x v="19"/>
    <x v="1"/>
    <x v="5"/>
    <s v="Medication and Counseling"/>
    <n v="1000"/>
    <n v="55"/>
    <s v="No"/>
    <x v="1"/>
    <n v="4"/>
    <x v="2"/>
    <x v="4"/>
    <x v="0"/>
  </r>
  <r>
    <n v="772"/>
    <x v="1"/>
    <x v="0"/>
    <x v="6"/>
    <s v="Appendectomy"/>
    <n v="8000"/>
    <n v="57"/>
    <s v="Yes"/>
    <x v="0"/>
    <n v="3"/>
    <x v="0"/>
    <x v="4"/>
    <x v="1"/>
  </r>
  <r>
    <n v="773"/>
    <x v="0"/>
    <x v="1"/>
    <x v="7"/>
    <s v="Cast and Physical Therapy"/>
    <n v="3000"/>
    <n v="57"/>
    <s v="No"/>
    <x v="0"/>
    <n v="4"/>
    <x v="0"/>
    <x v="4"/>
    <x v="0"/>
  </r>
  <r>
    <n v="774"/>
    <x v="3"/>
    <x v="0"/>
    <x v="8"/>
    <s v="Cardiac Catheterization"/>
    <n v="18000"/>
    <n v="59"/>
    <s v="Yes"/>
    <x v="1"/>
    <n v="2"/>
    <x v="2"/>
    <x v="4"/>
    <x v="2"/>
  </r>
  <r>
    <n v="775"/>
    <x v="20"/>
    <x v="1"/>
    <x v="9"/>
    <s v="Epinephrine Injection"/>
    <n v="100"/>
    <n v="52"/>
    <s v="No"/>
    <x v="0"/>
    <n v="5"/>
    <x v="1"/>
    <x v="4"/>
    <x v="0"/>
  </r>
  <r>
    <n v="776"/>
    <x v="13"/>
    <x v="0"/>
    <x v="10"/>
    <s v="Antibiotics and Rest"/>
    <n v="800"/>
    <n v="53"/>
    <s v="No"/>
    <x v="1"/>
    <n v="4"/>
    <x v="0"/>
    <x v="4"/>
    <x v="0"/>
  </r>
  <r>
    <n v="777"/>
    <x v="21"/>
    <x v="1"/>
    <x v="11"/>
    <s v="Radiation Therapy"/>
    <n v="20000"/>
    <n v="60"/>
    <s v="No"/>
    <x v="0"/>
    <n v="3"/>
    <x v="2"/>
    <x v="4"/>
    <x v="1"/>
  </r>
  <r>
    <n v="778"/>
    <x v="16"/>
    <x v="0"/>
    <x v="12"/>
    <s v="Delivery and Postnatal Care"/>
    <n v="12000"/>
    <n v="54"/>
    <s v="No"/>
    <x v="0"/>
    <n v="4"/>
    <x v="1"/>
    <x v="4"/>
    <x v="0"/>
  </r>
  <r>
    <n v="779"/>
    <x v="4"/>
    <x v="1"/>
    <x v="13"/>
    <s v="Lithotripsy"/>
    <n v="6000"/>
    <n v="55"/>
    <s v="No"/>
    <x v="0"/>
    <n v="3"/>
    <x v="0"/>
    <x v="4"/>
    <x v="1"/>
  </r>
  <r>
    <n v="780"/>
    <x v="1"/>
    <x v="0"/>
    <x v="14"/>
    <s v="Physical Therapy and Pain Management"/>
    <n v="4000"/>
    <n v="56"/>
    <s v="No"/>
    <x v="1"/>
    <n v="4"/>
    <x v="0"/>
    <x v="4"/>
    <x v="0"/>
  </r>
  <r>
    <n v="781"/>
    <x v="10"/>
    <x v="0"/>
    <x v="0"/>
    <s v="Angioplasty"/>
    <n v="15000"/>
    <n v="57"/>
    <s v="Yes"/>
    <x v="0"/>
    <n v="4"/>
    <x v="0"/>
    <x v="4"/>
    <x v="0"/>
  </r>
  <r>
    <n v="782"/>
    <x v="11"/>
    <x v="1"/>
    <x v="1"/>
    <s v="Insulin Therapy"/>
    <n v="2000"/>
    <n v="55"/>
    <s v="No"/>
    <x v="1"/>
    <n v="3"/>
    <x v="2"/>
    <x v="4"/>
    <x v="1"/>
  </r>
  <r>
    <n v="783"/>
    <x v="12"/>
    <x v="0"/>
    <x v="2"/>
    <s v="X-Ray and Splint"/>
    <n v="500"/>
    <n v="53"/>
    <s v="No"/>
    <x v="0"/>
    <n v="5"/>
    <x v="1"/>
    <x v="4"/>
    <x v="0"/>
  </r>
  <r>
    <n v="785"/>
    <x v="6"/>
    <x v="0"/>
    <x v="4"/>
    <s v="Surgery and Chemotherapy"/>
    <n v="25000"/>
    <n v="62"/>
    <s v="No"/>
    <x v="0"/>
    <n v="4"/>
    <x v="0"/>
    <x v="4"/>
    <x v="0"/>
  </r>
  <r>
    <n v="786"/>
    <x v="5"/>
    <x v="1"/>
    <x v="5"/>
    <s v="Medication and Counseling"/>
    <n v="1000"/>
    <n v="56"/>
    <s v="No"/>
    <x v="1"/>
    <n v="4"/>
    <x v="2"/>
    <x v="4"/>
    <x v="0"/>
  </r>
  <r>
    <n v="787"/>
    <x v="0"/>
    <x v="0"/>
    <x v="6"/>
    <s v="Appendectomy"/>
    <n v="8000"/>
    <n v="58"/>
    <s v="No"/>
    <x v="0"/>
    <n v="3"/>
    <x v="0"/>
    <x v="4"/>
    <x v="1"/>
  </r>
  <r>
    <n v="788"/>
    <x v="7"/>
    <x v="1"/>
    <x v="7"/>
    <s v="Cast and Physical Therapy"/>
    <n v="3000"/>
    <n v="58"/>
    <s v="No"/>
    <x v="0"/>
    <n v="4"/>
    <x v="0"/>
    <x v="4"/>
    <x v="0"/>
  </r>
  <r>
    <n v="789"/>
    <x v="17"/>
    <x v="0"/>
    <x v="8"/>
    <s v="Cardiac Catheterization"/>
    <n v="18000"/>
    <n v="60"/>
    <s v="Yes"/>
    <x v="1"/>
    <n v="2"/>
    <x v="2"/>
    <x v="4"/>
    <x v="2"/>
  </r>
  <r>
    <n v="790"/>
    <x v="9"/>
    <x v="1"/>
    <x v="9"/>
    <s v="Epinephrine Injection"/>
    <n v="100"/>
    <n v="53"/>
    <s v="No"/>
    <x v="0"/>
    <n v="5"/>
    <x v="1"/>
    <x v="4"/>
    <x v="0"/>
  </r>
  <r>
    <n v="791"/>
    <x v="13"/>
    <x v="0"/>
    <x v="10"/>
    <s v="Antibiotics and Rest"/>
    <n v="800"/>
    <n v="54"/>
    <s v="No"/>
    <x v="1"/>
    <n v="4"/>
    <x v="0"/>
    <x v="4"/>
    <x v="0"/>
  </r>
  <r>
    <n v="792"/>
    <x v="14"/>
    <x v="1"/>
    <x v="11"/>
    <s v="Radiation Therapy"/>
    <n v="20000"/>
    <n v="61"/>
    <s v="No"/>
    <x v="0"/>
    <n v="3"/>
    <x v="0"/>
    <x v="4"/>
    <x v="1"/>
  </r>
  <r>
    <n v="793"/>
    <x v="2"/>
    <x v="0"/>
    <x v="12"/>
    <s v="Delivery and Postnatal Care"/>
    <n v="12000"/>
    <n v="55"/>
    <s v="No"/>
    <x v="0"/>
    <n v="4"/>
    <x v="1"/>
    <x v="4"/>
    <x v="0"/>
  </r>
  <r>
    <n v="794"/>
    <x v="6"/>
    <x v="1"/>
    <x v="13"/>
    <s v="Lithotripsy"/>
    <n v="6000"/>
    <n v="56"/>
    <s v="No"/>
    <x v="0"/>
    <n v="3"/>
    <x v="0"/>
    <x v="4"/>
    <x v="1"/>
  </r>
  <r>
    <n v="795"/>
    <x v="11"/>
    <x v="0"/>
    <x v="14"/>
    <s v="Physical Therapy and Pain Management"/>
    <n v="4000"/>
    <n v="57"/>
    <s v="No"/>
    <x v="1"/>
    <n v="4"/>
    <x v="2"/>
    <x v="4"/>
    <x v="0"/>
  </r>
  <r>
    <n v="796"/>
    <x v="6"/>
    <x v="0"/>
    <x v="0"/>
    <s v="Angioplasty"/>
    <n v="15000"/>
    <n v="58"/>
    <s v="Yes"/>
    <x v="0"/>
    <n v="3"/>
    <x v="0"/>
    <x v="4"/>
    <x v="1"/>
  </r>
  <r>
    <n v="797"/>
    <x v="15"/>
    <x v="1"/>
    <x v="1"/>
    <s v="Insulin Therapy"/>
    <n v="2000"/>
    <n v="56"/>
    <s v="No"/>
    <x v="1"/>
    <n v="4"/>
    <x v="2"/>
    <x v="4"/>
    <x v="0"/>
  </r>
  <r>
    <n v="798"/>
    <x v="16"/>
    <x v="0"/>
    <x v="2"/>
    <s v="X-Ray and Splint"/>
    <n v="500"/>
    <n v="54"/>
    <s v="Yes"/>
    <x v="0"/>
    <n v="5"/>
    <x v="1"/>
    <x v="4"/>
    <x v="0"/>
  </r>
  <r>
    <n v="799"/>
    <x v="17"/>
    <x v="1"/>
    <x v="3"/>
    <s v="CT Scan and Medication"/>
    <n v="10000"/>
    <n v="61"/>
    <s v="No"/>
    <x v="1"/>
    <n v="2"/>
    <x v="2"/>
    <x v="4"/>
    <x v="2"/>
  </r>
  <r>
    <n v="800"/>
    <x v="18"/>
    <x v="0"/>
    <x v="4"/>
    <s v="Surgery and Chemotherapy"/>
    <n v="25000"/>
    <n v="63"/>
    <s v="Yes"/>
    <x v="0"/>
    <n v="4"/>
    <x v="0"/>
    <x v="4"/>
    <x v="0"/>
  </r>
  <r>
    <n v="801"/>
    <x v="19"/>
    <x v="1"/>
    <x v="5"/>
    <s v="Medication and Counseling"/>
    <n v="1000"/>
    <n v="57"/>
    <s v="No"/>
    <x v="1"/>
    <n v="4"/>
    <x v="2"/>
    <x v="4"/>
    <x v="0"/>
  </r>
  <r>
    <n v="802"/>
    <x v="1"/>
    <x v="0"/>
    <x v="6"/>
    <s v="Appendectomy"/>
    <n v="8000"/>
    <n v="59"/>
    <s v="Yes"/>
    <x v="0"/>
    <n v="3"/>
    <x v="0"/>
    <x v="4"/>
    <x v="1"/>
  </r>
  <r>
    <n v="803"/>
    <x v="0"/>
    <x v="1"/>
    <x v="7"/>
    <s v="Cast and Physical Therapy"/>
    <n v="3000"/>
    <n v="59"/>
    <s v="No"/>
    <x v="0"/>
    <n v="4"/>
    <x v="0"/>
    <x v="4"/>
    <x v="0"/>
  </r>
  <r>
    <n v="804"/>
    <x v="3"/>
    <x v="0"/>
    <x v="8"/>
    <s v="Cardiac Catheterization"/>
    <n v="18000"/>
    <n v="61"/>
    <s v="Yes"/>
    <x v="1"/>
    <n v="2"/>
    <x v="2"/>
    <x v="4"/>
    <x v="2"/>
  </r>
  <r>
    <n v="805"/>
    <x v="20"/>
    <x v="1"/>
    <x v="9"/>
    <s v="Epinephrine Injection"/>
    <n v="100"/>
    <n v="54"/>
    <s v="No"/>
    <x v="0"/>
    <n v="5"/>
    <x v="1"/>
    <x v="4"/>
    <x v="0"/>
  </r>
  <r>
    <n v="806"/>
    <x v="13"/>
    <x v="0"/>
    <x v="10"/>
    <s v="Antibiotics and Rest"/>
    <n v="800"/>
    <n v="55"/>
    <s v="No"/>
    <x v="1"/>
    <n v="4"/>
    <x v="0"/>
    <x v="4"/>
    <x v="0"/>
  </r>
  <r>
    <n v="807"/>
    <x v="21"/>
    <x v="1"/>
    <x v="11"/>
    <s v="Radiation Therapy"/>
    <n v="20000"/>
    <n v="62"/>
    <s v="No"/>
    <x v="0"/>
    <n v="3"/>
    <x v="2"/>
    <x v="4"/>
    <x v="1"/>
  </r>
  <r>
    <n v="808"/>
    <x v="16"/>
    <x v="0"/>
    <x v="12"/>
    <s v="Delivery and Postnatal Care"/>
    <n v="12000"/>
    <n v="56"/>
    <s v="No"/>
    <x v="0"/>
    <n v="4"/>
    <x v="1"/>
    <x v="4"/>
    <x v="0"/>
  </r>
  <r>
    <n v="809"/>
    <x v="4"/>
    <x v="1"/>
    <x v="13"/>
    <s v="Lithotripsy"/>
    <n v="6000"/>
    <n v="57"/>
    <s v="No"/>
    <x v="0"/>
    <n v="3"/>
    <x v="0"/>
    <x v="4"/>
    <x v="1"/>
  </r>
  <r>
    <n v="810"/>
    <x v="1"/>
    <x v="0"/>
    <x v="14"/>
    <s v="Physical Therapy and Pain Management"/>
    <n v="4000"/>
    <n v="58"/>
    <s v="No"/>
    <x v="1"/>
    <n v="4"/>
    <x v="0"/>
    <x v="4"/>
    <x v="0"/>
  </r>
  <r>
    <n v="811"/>
    <x v="10"/>
    <x v="0"/>
    <x v="0"/>
    <s v="Angioplasty"/>
    <n v="15000"/>
    <n v="59"/>
    <s v="Yes"/>
    <x v="0"/>
    <n v="4"/>
    <x v="0"/>
    <x v="4"/>
    <x v="0"/>
  </r>
  <r>
    <n v="812"/>
    <x v="11"/>
    <x v="1"/>
    <x v="1"/>
    <s v="Insulin Therapy"/>
    <n v="2000"/>
    <n v="57"/>
    <s v="No"/>
    <x v="1"/>
    <n v="3"/>
    <x v="2"/>
    <x v="4"/>
    <x v="1"/>
  </r>
  <r>
    <n v="813"/>
    <x v="12"/>
    <x v="0"/>
    <x v="2"/>
    <s v="X-Ray and Splint"/>
    <n v="500"/>
    <n v="55"/>
    <s v="No"/>
    <x v="0"/>
    <n v="5"/>
    <x v="1"/>
    <x v="4"/>
    <x v="0"/>
  </r>
  <r>
    <n v="814"/>
    <x v="8"/>
    <x v="1"/>
    <x v="3"/>
    <s v="CT Scan and Medication"/>
    <n v="10000"/>
    <n v="62"/>
    <s v="Yes"/>
    <x v="1"/>
    <n v="2"/>
    <x v="2"/>
    <x v="4"/>
    <x v="2"/>
  </r>
  <r>
    <n v="815"/>
    <x v="6"/>
    <x v="0"/>
    <x v="4"/>
    <s v="Surgery and Chemotherapy"/>
    <n v="25000"/>
    <n v="64"/>
    <s v="No"/>
    <x v="0"/>
    <n v="4"/>
    <x v="0"/>
    <x v="4"/>
    <x v="0"/>
  </r>
  <r>
    <n v="816"/>
    <x v="5"/>
    <x v="1"/>
    <x v="5"/>
    <s v="Medication and Counseling"/>
    <n v="1000"/>
    <n v="58"/>
    <s v="No"/>
    <x v="1"/>
    <n v="4"/>
    <x v="2"/>
    <x v="4"/>
    <x v="0"/>
  </r>
  <r>
    <n v="817"/>
    <x v="0"/>
    <x v="0"/>
    <x v="6"/>
    <s v="Appendectomy"/>
    <n v="8000"/>
    <n v="60"/>
    <s v="No"/>
    <x v="0"/>
    <n v="3"/>
    <x v="0"/>
    <x v="4"/>
    <x v="1"/>
  </r>
  <r>
    <n v="818"/>
    <x v="7"/>
    <x v="1"/>
    <x v="7"/>
    <s v="Cast and Physical Therapy"/>
    <n v="3000"/>
    <n v="60"/>
    <s v="No"/>
    <x v="0"/>
    <n v="4"/>
    <x v="0"/>
    <x v="4"/>
    <x v="0"/>
  </r>
  <r>
    <n v="819"/>
    <x v="17"/>
    <x v="0"/>
    <x v="8"/>
    <s v="Cardiac Catheterization"/>
    <n v="18000"/>
    <n v="62"/>
    <s v="Yes"/>
    <x v="1"/>
    <n v="2"/>
    <x v="2"/>
    <x v="4"/>
    <x v="2"/>
  </r>
  <r>
    <n v="820"/>
    <x v="9"/>
    <x v="1"/>
    <x v="9"/>
    <s v="Epinephrine Injection"/>
    <n v="100"/>
    <n v="55"/>
    <s v="No"/>
    <x v="0"/>
    <n v="5"/>
    <x v="1"/>
    <x v="4"/>
    <x v="0"/>
  </r>
  <r>
    <n v="821"/>
    <x v="13"/>
    <x v="0"/>
    <x v="10"/>
    <s v="Antibiotics and Rest"/>
    <n v="800"/>
    <n v="56"/>
    <s v="No"/>
    <x v="1"/>
    <n v="4"/>
    <x v="0"/>
    <x v="4"/>
    <x v="0"/>
  </r>
  <r>
    <n v="822"/>
    <x v="14"/>
    <x v="1"/>
    <x v="11"/>
    <s v="Radiation Therapy"/>
    <n v="20000"/>
    <n v="63"/>
    <s v="No"/>
    <x v="0"/>
    <n v="3"/>
    <x v="0"/>
    <x v="4"/>
    <x v="1"/>
  </r>
  <r>
    <n v="823"/>
    <x v="2"/>
    <x v="0"/>
    <x v="12"/>
    <s v="Delivery and Postnatal Care"/>
    <n v="12000"/>
    <n v="57"/>
    <s v="No"/>
    <x v="0"/>
    <n v="4"/>
    <x v="1"/>
    <x v="4"/>
    <x v="0"/>
  </r>
  <r>
    <n v="824"/>
    <x v="6"/>
    <x v="1"/>
    <x v="13"/>
    <s v="Lithotripsy"/>
    <n v="6000"/>
    <n v="58"/>
    <s v="No"/>
    <x v="0"/>
    <n v="3"/>
    <x v="0"/>
    <x v="4"/>
    <x v="1"/>
  </r>
  <r>
    <n v="825"/>
    <x v="11"/>
    <x v="0"/>
    <x v="14"/>
    <s v="Physical Therapy and Pain Management"/>
    <n v="4000"/>
    <n v="59"/>
    <s v="No"/>
    <x v="1"/>
    <n v="4"/>
    <x v="2"/>
    <x v="4"/>
    <x v="0"/>
  </r>
  <r>
    <n v="826"/>
    <x v="6"/>
    <x v="0"/>
    <x v="0"/>
    <s v="Angioplasty"/>
    <n v="15000"/>
    <n v="60"/>
    <s v="Yes"/>
    <x v="0"/>
    <n v="3"/>
    <x v="0"/>
    <x v="4"/>
    <x v="1"/>
  </r>
  <r>
    <n v="827"/>
    <x v="15"/>
    <x v="1"/>
    <x v="1"/>
    <s v="Insulin Therapy"/>
    <n v="2000"/>
    <n v="58"/>
    <s v="No"/>
    <x v="1"/>
    <n v="4"/>
    <x v="2"/>
    <x v="4"/>
    <x v="0"/>
  </r>
  <r>
    <n v="828"/>
    <x v="16"/>
    <x v="0"/>
    <x v="2"/>
    <s v="X-Ray and Splint"/>
    <n v="500"/>
    <n v="56"/>
    <s v="Yes"/>
    <x v="0"/>
    <n v="5"/>
    <x v="1"/>
    <x v="4"/>
    <x v="0"/>
  </r>
  <r>
    <n v="829"/>
    <x v="17"/>
    <x v="1"/>
    <x v="3"/>
    <s v="CT Scan and Medication"/>
    <n v="10000"/>
    <n v="63"/>
    <s v="No"/>
    <x v="1"/>
    <n v="2"/>
    <x v="2"/>
    <x v="4"/>
    <x v="2"/>
  </r>
  <r>
    <n v="830"/>
    <x v="18"/>
    <x v="0"/>
    <x v="4"/>
    <s v="Surgery and Chemotherapy"/>
    <n v="25000"/>
    <n v="65"/>
    <s v="Yes"/>
    <x v="0"/>
    <n v="4"/>
    <x v="0"/>
    <x v="4"/>
    <x v="0"/>
  </r>
  <r>
    <n v="831"/>
    <x v="19"/>
    <x v="1"/>
    <x v="5"/>
    <s v="Medication and Counseling"/>
    <n v="1000"/>
    <n v="59"/>
    <s v="No"/>
    <x v="1"/>
    <n v="4"/>
    <x v="2"/>
    <x v="4"/>
    <x v="0"/>
  </r>
  <r>
    <n v="832"/>
    <x v="1"/>
    <x v="0"/>
    <x v="6"/>
    <s v="Appendectomy"/>
    <n v="8000"/>
    <n v="61"/>
    <s v="Yes"/>
    <x v="0"/>
    <n v="3"/>
    <x v="0"/>
    <x v="4"/>
    <x v="1"/>
  </r>
  <r>
    <n v="833"/>
    <x v="0"/>
    <x v="1"/>
    <x v="7"/>
    <s v="Cast and Physical Therapy"/>
    <n v="3000"/>
    <n v="61"/>
    <s v="No"/>
    <x v="0"/>
    <n v="4"/>
    <x v="0"/>
    <x v="4"/>
    <x v="0"/>
  </r>
  <r>
    <n v="834"/>
    <x v="3"/>
    <x v="0"/>
    <x v="8"/>
    <s v="Cardiac Catheterization"/>
    <n v="18000"/>
    <n v="63"/>
    <s v="Yes"/>
    <x v="1"/>
    <n v="2"/>
    <x v="2"/>
    <x v="4"/>
    <x v="2"/>
  </r>
  <r>
    <n v="835"/>
    <x v="20"/>
    <x v="1"/>
    <x v="9"/>
    <s v="Epinephrine Injection"/>
    <n v="100"/>
    <n v="56"/>
    <s v="No"/>
    <x v="0"/>
    <n v="5"/>
    <x v="1"/>
    <x v="4"/>
    <x v="0"/>
  </r>
  <r>
    <n v="836"/>
    <x v="13"/>
    <x v="0"/>
    <x v="10"/>
    <s v="Antibiotics and Rest"/>
    <n v="800"/>
    <n v="57"/>
    <s v="No"/>
    <x v="1"/>
    <n v="4"/>
    <x v="0"/>
    <x v="4"/>
    <x v="0"/>
  </r>
  <r>
    <n v="837"/>
    <x v="21"/>
    <x v="1"/>
    <x v="11"/>
    <s v="Radiation Therapy"/>
    <n v="20000"/>
    <n v="64"/>
    <s v="No"/>
    <x v="0"/>
    <n v="3"/>
    <x v="2"/>
    <x v="4"/>
    <x v="1"/>
  </r>
  <r>
    <n v="838"/>
    <x v="16"/>
    <x v="0"/>
    <x v="12"/>
    <s v="Delivery and Postnatal Care"/>
    <n v="12000"/>
    <n v="58"/>
    <s v="No"/>
    <x v="0"/>
    <n v="4"/>
    <x v="1"/>
    <x v="4"/>
    <x v="0"/>
  </r>
  <r>
    <n v="839"/>
    <x v="4"/>
    <x v="1"/>
    <x v="13"/>
    <s v="Lithotripsy"/>
    <n v="6000"/>
    <n v="59"/>
    <s v="No"/>
    <x v="0"/>
    <n v="3"/>
    <x v="0"/>
    <x v="4"/>
    <x v="1"/>
  </r>
  <r>
    <n v="840"/>
    <x v="1"/>
    <x v="0"/>
    <x v="14"/>
    <s v="Physical Therapy and Pain Management"/>
    <n v="4000"/>
    <n v="60"/>
    <s v="No"/>
    <x v="1"/>
    <n v="4"/>
    <x v="0"/>
    <x v="4"/>
    <x v="0"/>
  </r>
  <r>
    <n v="841"/>
    <x v="10"/>
    <x v="0"/>
    <x v="0"/>
    <s v="Angioplasty"/>
    <n v="15000"/>
    <n v="61"/>
    <s v="Yes"/>
    <x v="0"/>
    <n v="4"/>
    <x v="0"/>
    <x v="4"/>
    <x v="0"/>
  </r>
  <r>
    <n v="842"/>
    <x v="11"/>
    <x v="1"/>
    <x v="1"/>
    <s v="Insulin Therapy"/>
    <n v="2000"/>
    <n v="59"/>
    <s v="No"/>
    <x v="1"/>
    <n v="3"/>
    <x v="2"/>
    <x v="4"/>
    <x v="1"/>
  </r>
  <r>
    <n v="843"/>
    <x v="12"/>
    <x v="0"/>
    <x v="2"/>
    <s v="X-Ray and Splint"/>
    <n v="500"/>
    <n v="57"/>
    <s v="No"/>
    <x v="0"/>
    <n v="5"/>
    <x v="1"/>
    <x v="4"/>
    <x v="0"/>
  </r>
  <r>
    <n v="844"/>
    <x v="8"/>
    <x v="1"/>
    <x v="3"/>
    <s v="CT Scan and Medication"/>
    <n v="10000"/>
    <n v="64"/>
    <s v="Yes"/>
    <x v="1"/>
    <n v="2"/>
    <x v="2"/>
    <x v="4"/>
    <x v="2"/>
  </r>
  <r>
    <n v="846"/>
    <x v="5"/>
    <x v="1"/>
    <x v="5"/>
    <s v="Medication and Counseling"/>
    <n v="1000"/>
    <n v="60"/>
    <s v="No"/>
    <x v="1"/>
    <n v="4"/>
    <x v="2"/>
    <x v="4"/>
    <x v="0"/>
  </r>
  <r>
    <n v="847"/>
    <x v="0"/>
    <x v="0"/>
    <x v="6"/>
    <s v="Appendectomy"/>
    <n v="8000"/>
    <n v="62"/>
    <s v="No"/>
    <x v="0"/>
    <n v="3"/>
    <x v="0"/>
    <x v="4"/>
    <x v="1"/>
  </r>
  <r>
    <n v="848"/>
    <x v="7"/>
    <x v="1"/>
    <x v="7"/>
    <s v="Cast and Physical Therapy"/>
    <n v="3000"/>
    <n v="62"/>
    <s v="No"/>
    <x v="0"/>
    <n v="4"/>
    <x v="0"/>
    <x v="4"/>
    <x v="0"/>
  </r>
  <r>
    <n v="849"/>
    <x v="17"/>
    <x v="0"/>
    <x v="8"/>
    <s v="Cardiac Catheterization"/>
    <n v="18000"/>
    <n v="64"/>
    <s v="Yes"/>
    <x v="1"/>
    <n v="2"/>
    <x v="2"/>
    <x v="4"/>
    <x v="2"/>
  </r>
  <r>
    <n v="850"/>
    <x v="9"/>
    <x v="1"/>
    <x v="9"/>
    <s v="Epinephrine Injection"/>
    <n v="100"/>
    <n v="57"/>
    <s v="No"/>
    <x v="0"/>
    <n v="5"/>
    <x v="1"/>
    <x v="4"/>
    <x v="0"/>
  </r>
  <r>
    <n v="851"/>
    <x v="13"/>
    <x v="0"/>
    <x v="10"/>
    <s v="Antibiotics and Rest"/>
    <n v="800"/>
    <n v="58"/>
    <s v="No"/>
    <x v="1"/>
    <n v="4"/>
    <x v="0"/>
    <x v="4"/>
    <x v="0"/>
  </r>
  <r>
    <n v="852"/>
    <x v="14"/>
    <x v="1"/>
    <x v="11"/>
    <s v="Radiation Therapy"/>
    <n v="20000"/>
    <n v="65"/>
    <s v="No"/>
    <x v="0"/>
    <n v="3"/>
    <x v="0"/>
    <x v="4"/>
    <x v="1"/>
  </r>
  <r>
    <n v="853"/>
    <x v="2"/>
    <x v="0"/>
    <x v="12"/>
    <s v="Delivery and Postnatal Care"/>
    <n v="12000"/>
    <n v="59"/>
    <s v="No"/>
    <x v="0"/>
    <n v="4"/>
    <x v="1"/>
    <x v="4"/>
    <x v="0"/>
  </r>
  <r>
    <n v="854"/>
    <x v="6"/>
    <x v="1"/>
    <x v="13"/>
    <s v="Lithotripsy"/>
    <n v="6000"/>
    <n v="60"/>
    <s v="No"/>
    <x v="0"/>
    <n v="3"/>
    <x v="0"/>
    <x v="4"/>
    <x v="1"/>
  </r>
  <r>
    <n v="855"/>
    <x v="11"/>
    <x v="0"/>
    <x v="14"/>
    <s v="Physical Therapy and Pain Management"/>
    <n v="4000"/>
    <n v="61"/>
    <s v="No"/>
    <x v="1"/>
    <n v="4"/>
    <x v="2"/>
    <x v="4"/>
    <x v="0"/>
  </r>
  <r>
    <n v="856"/>
    <x v="6"/>
    <x v="0"/>
    <x v="0"/>
    <s v="Angioplasty"/>
    <n v="15000"/>
    <n v="62"/>
    <s v="Yes"/>
    <x v="0"/>
    <n v="3"/>
    <x v="0"/>
    <x v="4"/>
    <x v="1"/>
  </r>
  <r>
    <n v="857"/>
    <x v="15"/>
    <x v="1"/>
    <x v="1"/>
    <s v="Insulin Therapy"/>
    <n v="2000"/>
    <n v="60"/>
    <s v="No"/>
    <x v="1"/>
    <n v="4"/>
    <x v="2"/>
    <x v="4"/>
    <x v="0"/>
  </r>
  <r>
    <n v="858"/>
    <x v="16"/>
    <x v="0"/>
    <x v="2"/>
    <s v="X-Ray and Splint"/>
    <n v="500"/>
    <n v="58"/>
    <s v="Yes"/>
    <x v="0"/>
    <n v="5"/>
    <x v="1"/>
    <x v="4"/>
    <x v="0"/>
  </r>
  <r>
    <n v="859"/>
    <x v="17"/>
    <x v="1"/>
    <x v="3"/>
    <s v="CT Scan and Medication"/>
    <n v="10000"/>
    <n v="65"/>
    <s v="No"/>
    <x v="1"/>
    <n v="2"/>
    <x v="2"/>
    <x v="4"/>
    <x v="2"/>
  </r>
  <r>
    <n v="860"/>
    <x v="18"/>
    <x v="0"/>
    <x v="4"/>
    <s v="Surgery and Chemotherapy"/>
    <n v="25000"/>
    <n v="67"/>
    <s v="Yes"/>
    <x v="0"/>
    <n v="4"/>
    <x v="0"/>
    <x v="4"/>
    <x v="0"/>
  </r>
  <r>
    <n v="861"/>
    <x v="19"/>
    <x v="1"/>
    <x v="5"/>
    <s v="Medication and Counseling"/>
    <n v="1000"/>
    <n v="61"/>
    <s v="No"/>
    <x v="1"/>
    <n v="4"/>
    <x v="2"/>
    <x v="4"/>
    <x v="0"/>
  </r>
  <r>
    <n v="862"/>
    <x v="1"/>
    <x v="0"/>
    <x v="6"/>
    <s v="Appendectomy"/>
    <n v="8000"/>
    <n v="63"/>
    <s v="Yes"/>
    <x v="0"/>
    <n v="3"/>
    <x v="0"/>
    <x v="4"/>
    <x v="1"/>
  </r>
  <r>
    <n v="863"/>
    <x v="0"/>
    <x v="1"/>
    <x v="7"/>
    <s v="Cast and Physical Therapy"/>
    <n v="3000"/>
    <n v="63"/>
    <s v="No"/>
    <x v="0"/>
    <n v="4"/>
    <x v="0"/>
    <x v="4"/>
    <x v="0"/>
  </r>
  <r>
    <n v="864"/>
    <x v="3"/>
    <x v="0"/>
    <x v="8"/>
    <s v="Cardiac Catheterization"/>
    <n v="18000"/>
    <n v="65"/>
    <s v="Yes"/>
    <x v="1"/>
    <n v="2"/>
    <x v="2"/>
    <x v="4"/>
    <x v="2"/>
  </r>
  <r>
    <n v="865"/>
    <x v="20"/>
    <x v="1"/>
    <x v="9"/>
    <s v="Epinephrine Injection"/>
    <n v="100"/>
    <n v="58"/>
    <s v="No"/>
    <x v="0"/>
    <n v="5"/>
    <x v="1"/>
    <x v="4"/>
    <x v="0"/>
  </r>
  <r>
    <n v="866"/>
    <x v="13"/>
    <x v="0"/>
    <x v="10"/>
    <s v="Antibiotics and Rest"/>
    <n v="800"/>
    <n v="59"/>
    <s v="No"/>
    <x v="1"/>
    <n v="4"/>
    <x v="0"/>
    <x v="4"/>
    <x v="0"/>
  </r>
  <r>
    <n v="867"/>
    <x v="21"/>
    <x v="1"/>
    <x v="11"/>
    <s v="Radiation Therapy"/>
    <n v="20000"/>
    <n v="66"/>
    <s v="No"/>
    <x v="0"/>
    <n v="3"/>
    <x v="2"/>
    <x v="4"/>
    <x v="1"/>
  </r>
  <r>
    <n v="868"/>
    <x v="16"/>
    <x v="0"/>
    <x v="12"/>
    <s v="Delivery and Postnatal Care"/>
    <n v="12000"/>
    <n v="60"/>
    <s v="No"/>
    <x v="0"/>
    <n v="4"/>
    <x v="1"/>
    <x v="4"/>
    <x v="0"/>
  </r>
  <r>
    <n v="869"/>
    <x v="4"/>
    <x v="1"/>
    <x v="13"/>
    <s v="Lithotripsy"/>
    <n v="6000"/>
    <n v="61"/>
    <s v="No"/>
    <x v="0"/>
    <n v="3"/>
    <x v="0"/>
    <x v="4"/>
    <x v="1"/>
  </r>
  <r>
    <n v="870"/>
    <x v="1"/>
    <x v="0"/>
    <x v="14"/>
    <s v="Physical Therapy and Pain Management"/>
    <n v="4000"/>
    <n v="62"/>
    <s v="No"/>
    <x v="1"/>
    <n v="4"/>
    <x v="0"/>
    <x v="4"/>
    <x v="0"/>
  </r>
  <r>
    <n v="871"/>
    <x v="10"/>
    <x v="0"/>
    <x v="0"/>
    <s v="Angioplasty"/>
    <n v="15000"/>
    <n v="63"/>
    <s v="Yes"/>
    <x v="0"/>
    <n v="4"/>
    <x v="0"/>
    <x v="4"/>
    <x v="0"/>
  </r>
  <r>
    <n v="872"/>
    <x v="11"/>
    <x v="1"/>
    <x v="1"/>
    <s v="Insulin Therapy"/>
    <n v="2000"/>
    <n v="61"/>
    <s v="No"/>
    <x v="1"/>
    <n v="3"/>
    <x v="2"/>
    <x v="4"/>
    <x v="1"/>
  </r>
  <r>
    <n v="873"/>
    <x v="12"/>
    <x v="0"/>
    <x v="2"/>
    <s v="X-Ray and Splint"/>
    <n v="500"/>
    <n v="59"/>
    <s v="No"/>
    <x v="0"/>
    <n v="5"/>
    <x v="1"/>
    <x v="4"/>
    <x v="0"/>
  </r>
  <r>
    <n v="874"/>
    <x v="8"/>
    <x v="1"/>
    <x v="3"/>
    <s v="CT Scan and Medication"/>
    <n v="10000"/>
    <n v="66"/>
    <s v="Yes"/>
    <x v="1"/>
    <n v="2"/>
    <x v="2"/>
    <x v="4"/>
    <x v="2"/>
  </r>
  <r>
    <n v="875"/>
    <x v="6"/>
    <x v="0"/>
    <x v="4"/>
    <s v="Surgery and Chemotherapy"/>
    <n v="25000"/>
    <n v="68"/>
    <s v="No"/>
    <x v="0"/>
    <n v="4"/>
    <x v="0"/>
    <x v="4"/>
    <x v="0"/>
  </r>
  <r>
    <n v="876"/>
    <x v="5"/>
    <x v="1"/>
    <x v="5"/>
    <s v="Medication and Counseling"/>
    <n v="1000"/>
    <n v="62"/>
    <s v="No"/>
    <x v="1"/>
    <n v="4"/>
    <x v="2"/>
    <x v="4"/>
    <x v="0"/>
  </r>
  <r>
    <n v="877"/>
    <x v="0"/>
    <x v="0"/>
    <x v="6"/>
    <s v="Appendectomy"/>
    <n v="8000"/>
    <n v="64"/>
    <s v="No"/>
    <x v="0"/>
    <n v="3"/>
    <x v="0"/>
    <x v="4"/>
    <x v="1"/>
  </r>
  <r>
    <n v="878"/>
    <x v="7"/>
    <x v="1"/>
    <x v="7"/>
    <s v="Cast and Physical Therapy"/>
    <n v="3000"/>
    <n v="64"/>
    <s v="No"/>
    <x v="0"/>
    <n v="4"/>
    <x v="0"/>
    <x v="4"/>
    <x v="0"/>
  </r>
  <r>
    <n v="879"/>
    <x v="17"/>
    <x v="0"/>
    <x v="8"/>
    <s v="Cardiac Catheterization"/>
    <n v="18000"/>
    <n v="66"/>
    <s v="Yes"/>
    <x v="1"/>
    <n v="2"/>
    <x v="2"/>
    <x v="4"/>
    <x v="2"/>
  </r>
  <r>
    <n v="880"/>
    <x v="9"/>
    <x v="1"/>
    <x v="9"/>
    <s v="Epinephrine Injection"/>
    <n v="100"/>
    <n v="59"/>
    <s v="No"/>
    <x v="0"/>
    <n v="5"/>
    <x v="1"/>
    <x v="4"/>
    <x v="0"/>
  </r>
  <r>
    <n v="881"/>
    <x v="13"/>
    <x v="0"/>
    <x v="10"/>
    <s v="Antibiotics and Rest"/>
    <n v="800"/>
    <n v="60"/>
    <s v="No"/>
    <x v="1"/>
    <n v="4"/>
    <x v="0"/>
    <x v="4"/>
    <x v="0"/>
  </r>
  <r>
    <n v="882"/>
    <x v="14"/>
    <x v="1"/>
    <x v="11"/>
    <s v="Radiation Therapy"/>
    <n v="20000"/>
    <n v="67"/>
    <s v="No"/>
    <x v="0"/>
    <n v="3"/>
    <x v="0"/>
    <x v="4"/>
    <x v="1"/>
  </r>
  <r>
    <n v="883"/>
    <x v="2"/>
    <x v="0"/>
    <x v="12"/>
    <s v="Delivery and Postnatal Care"/>
    <n v="12000"/>
    <n v="61"/>
    <s v="No"/>
    <x v="0"/>
    <n v="4"/>
    <x v="1"/>
    <x v="4"/>
    <x v="0"/>
  </r>
  <r>
    <n v="884"/>
    <x v="6"/>
    <x v="1"/>
    <x v="13"/>
    <s v="Lithotripsy"/>
    <n v="6000"/>
    <n v="62"/>
    <s v="No"/>
    <x v="0"/>
    <n v="3"/>
    <x v="0"/>
    <x v="4"/>
    <x v="1"/>
  </r>
  <r>
    <n v="885"/>
    <x v="11"/>
    <x v="0"/>
    <x v="14"/>
    <s v="Physical Therapy and Pain Management"/>
    <n v="4000"/>
    <n v="63"/>
    <s v="No"/>
    <x v="1"/>
    <n v="4"/>
    <x v="2"/>
    <x v="4"/>
    <x v="0"/>
  </r>
  <r>
    <n v="886"/>
    <x v="6"/>
    <x v="0"/>
    <x v="0"/>
    <s v="Angioplasty"/>
    <n v="15000"/>
    <n v="64"/>
    <s v="Yes"/>
    <x v="0"/>
    <n v="3"/>
    <x v="0"/>
    <x v="4"/>
    <x v="1"/>
  </r>
  <r>
    <n v="887"/>
    <x v="15"/>
    <x v="1"/>
    <x v="1"/>
    <s v="Insulin Therapy"/>
    <n v="2000"/>
    <n v="62"/>
    <s v="No"/>
    <x v="1"/>
    <n v="4"/>
    <x v="2"/>
    <x v="4"/>
    <x v="0"/>
  </r>
  <r>
    <n v="888"/>
    <x v="16"/>
    <x v="0"/>
    <x v="2"/>
    <s v="X-Ray and Splint"/>
    <n v="500"/>
    <n v="60"/>
    <s v="Yes"/>
    <x v="0"/>
    <n v="5"/>
    <x v="1"/>
    <x v="4"/>
    <x v="0"/>
  </r>
  <r>
    <n v="889"/>
    <x v="17"/>
    <x v="1"/>
    <x v="3"/>
    <s v="CT Scan and Medication"/>
    <n v="10000"/>
    <n v="67"/>
    <s v="No"/>
    <x v="1"/>
    <n v="2"/>
    <x v="2"/>
    <x v="4"/>
    <x v="2"/>
  </r>
  <r>
    <n v="890"/>
    <x v="18"/>
    <x v="0"/>
    <x v="4"/>
    <s v="Surgery and Chemotherapy"/>
    <n v="25000"/>
    <n v="69"/>
    <s v="Yes"/>
    <x v="0"/>
    <n v="4"/>
    <x v="0"/>
    <x v="4"/>
    <x v="0"/>
  </r>
  <r>
    <n v="891"/>
    <x v="19"/>
    <x v="1"/>
    <x v="5"/>
    <s v="Medication and Counseling"/>
    <n v="1000"/>
    <n v="63"/>
    <s v="No"/>
    <x v="1"/>
    <n v="4"/>
    <x v="2"/>
    <x v="4"/>
    <x v="0"/>
  </r>
  <r>
    <n v="892"/>
    <x v="1"/>
    <x v="0"/>
    <x v="6"/>
    <s v="Appendectomy"/>
    <n v="8000"/>
    <n v="65"/>
    <s v="Yes"/>
    <x v="0"/>
    <n v="3"/>
    <x v="0"/>
    <x v="4"/>
    <x v="1"/>
  </r>
  <r>
    <n v="893"/>
    <x v="0"/>
    <x v="1"/>
    <x v="7"/>
    <s v="Cast and Physical Therapy"/>
    <n v="3000"/>
    <n v="65"/>
    <s v="No"/>
    <x v="0"/>
    <n v="4"/>
    <x v="0"/>
    <x v="4"/>
    <x v="0"/>
  </r>
  <r>
    <n v="894"/>
    <x v="3"/>
    <x v="0"/>
    <x v="8"/>
    <s v="Cardiac Catheterization"/>
    <n v="18000"/>
    <n v="67"/>
    <s v="Yes"/>
    <x v="1"/>
    <n v="2"/>
    <x v="2"/>
    <x v="4"/>
    <x v="2"/>
  </r>
  <r>
    <n v="895"/>
    <x v="20"/>
    <x v="1"/>
    <x v="9"/>
    <s v="Epinephrine Injection"/>
    <n v="100"/>
    <n v="60"/>
    <s v="No"/>
    <x v="0"/>
    <n v="5"/>
    <x v="1"/>
    <x v="4"/>
    <x v="0"/>
  </r>
  <r>
    <n v="896"/>
    <x v="13"/>
    <x v="0"/>
    <x v="10"/>
    <s v="Antibiotics and Rest"/>
    <n v="800"/>
    <n v="61"/>
    <s v="No"/>
    <x v="1"/>
    <n v="4"/>
    <x v="0"/>
    <x v="4"/>
    <x v="0"/>
  </r>
  <r>
    <n v="897"/>
    <x v="21"/>
    <x v="1"/>
    <x v="11"/>
    <s v="Radiation Therapy"/>
    <n v="20000"/>
    <n v="68"/>
    <s v="No"/>
    <x v="0"/>
    <n v="3"/>
    <x v="2"/>
    <x v="4"/>
    <x v="1"/>
  </r>
  <r>
    <n v="898"/>
    <x v="16"/>
    <x v="0"/>
    <x v="12"/>
    <s v="Delivery and Postnatal Care"/>
    <n v="12000"/>
    <n v="62"/>
    <s v="No"/>
    <x v="0"/>
    <n v="4"/>
    <x v="1"/>
    <x v="4"/>
    <x v="0"/>
  </r>
  <r>
    <n v="899"/>
    <x v="4"/>
    <x v="1"/>
    <x v="13"/>
    <s v="Lithotripsy"/>
    <n v="6000"/>
    <n v="63"/>
    <s v="No"/>
    <x v="0"/>
    <n v="3"/>
    <x v="0"/>
    <x v="4"/>
    <x v="1"/>
  </r>
  <r>
    <n v="900"/>
    <x v="1"/>
    <x v="0"/>
    <x v="14"/>
    <s v="Physical Therapy and Pain Management"/>
    <n v="4000"/>
    <n v="64"/>
    <s v="No"/>
    <x v="1"/>
    <n v="4"/>
    <x v="0"/>
    <x v="4"/>
    <x v="0"/>
  </r>
  <r>
    <n v="901"/>
    <x v="10"/>
    <x v="0"/>
    <x v="0"/>
    <s v="Angioplasty"/>
    <n v="15000"/>
    <n v="65"/>
    <s v="Yes"/>
    <x v="0"/>
    <n v="4"/>
    <x v="0"/>
    <x v="4"/>
    <x v="0"/>
  </r>
  <r>
    <n v="902"/>
    <x v="11"/>
    <x v="1"/>
    <x v="1"/>
    <s v="Insulin Therapy"/>
    <n v="2000"/>
    <n v="63"/>
    <s v="No"/>
    <x v="1"/>
    <n v="3"/>
    <x v="2"/>
    <x v="4"/>
    <x v="1"/>
  </r>
  <r>
    <n v="903"/>
    <x v="12"/>
    <x v="0"/>
    <x v="2"/>
    <s v="X-Ray and Splint"/>
    <n v="500"/>
    <n v="61"/>
    <s v="No"/>
    <x v="0"/>
    <n v="5"/>
    <x v="1"/>
    <x v="4"/>
    <x v="0"/>
  </r>
  <r>
    <n v="904"/>
    <x v="8"/>
    <x v="1"/>
    <x v="3"/>
    <s v="CT Scan and Medication"/>
    <n v="10000"/>
    <n v="68"/>
    <s v="Yes"/>
    <x v="1"/>
    <n v="2"/>
    <x v="2"/>
    <x v="4"/>
    <x v="2"/>
  </r>
  <r>
    <n v="905"/>
    <x v="6"/>
    <x v="0"/>
    <x v="4"/>
    <s v="Surgery and Chemotherapy"/>
    <n v="25000"/>
    <n v="70"/>
    <s v="No"/>
    <x v="0"/>
    <n v="4"/>
    <x v="0"/>
    <x v="4"/>
    <x v="0"/>
  </r>
  <r>
    <n v="907"/>
    <x v="0"/>
    <x v="0"/>
    <x v="6"/>
    <s v="Appendectomy"/>
    <n v="8000"/>
    <n v="66"/>
    <s v="No"/>
    <x v="0"/>
    <n v="3"/>
    <x v="0"/>
    <x v="4"/>
    <x v="1"/>
  </r>
  <r>
    <n v="908"/>
    <x v="7"/>
    <x v="1"/>
    <x v="7"/>
    <s v="Cast and Physical Therapy"/>
    <n v="3000"/>
    <n v="66"/>
    <s v="No"/>
    <x v="0"/>
    <n v="4"/>
    <x v="0"/>
    <x v="4"/>
    <x v="0"/>
  </r>
  <r>
    <n v="909"/>
    <x v="17"/>
    <x v="0"/>
    <x v="8"/>
    <s v="Cardiac Catheterization"/>
    <n v="18000"/>
    <n v="68"/>
    <s v="Yes"/>
    <x v="1"/>
    <n v="2"/>
    <x v="2"/>
    <x v="4"/>
    <x v="2"/>
  </r>
  <r>
    <n v="910"/>
    <x v="9"/>
    <x v="1"/>
    <x v="9"/>
    <s v="Epinephrine Injection"/>
    <n v="100"/>
    <n v="61"/>
    <s v="No"/>
    <x v="0"/>
    <n v="5"/>
    <x v="1"/>
    <x v="4"/>
    <x v="0"/>
  </r>
  <r>
    <n v="911"/>
    <x v="13"/>
    <x v="0"/>
    <x v="10"/>
    <s v="Antibiotics and Rest"/>
    <n v="800"/>
    <n v="62"/>
    <s v="No"/>
    <x v="1"/>
    <n v="4"/>
    <x v="0"/>
    <x v="4"/>
    <x v="0"/>
  </r>
  <r>
    <n v="912"/>
    <x v="14"/>
    <x v="1"/>
    <x v="11"/>
    <s v="Radiation Therapy"/>
    <n v="20000"/>
    <n v="69"/>
    <s v="No"/>
    <x v="0"/>
    <n v="3"/>
    <x v="0"/>
    <x v="4"/>
    <x v="1"/>
  </r>
  <r>
    <n v="913"/>
    <x v="2"/>
    <x v="0"/>
    <x v="12"/>
    <s v="Delivery and Postnatal Care"/>
    <n v="12000"/>
    <n v="63"/>
    <s v="No"/>
    <x v="0"/>
    <n v="4"/>
    <x v="1"/>
    <x v="4"/>
    <x v="0"/>
  </r>
  <r>
    <n v="914"/>
    <x v="6"/>
    <x v="1"/>
    <x v="13"/>
    <s v="Lithotripsy"/>
    <n v="6000"/>
    <n v="64"/>
    <s v="No"/>
    <x v="0"/>
    <n v="3"/>
    <x v="0"/>
    <x v="4"/>
    <x v="1"/>
  </r>
  <r>
    <n v="915"/>
    <x v="11"/>
    <x v="0"/>
    <x v="14"/>
    <s v="Physical Therapy and Pain Management"/>
    <n v="4000"/>
    <n v="65"/>
    <s v="No"/>
    <x v="1"/>
    <n v="4"/>
    <x v="2"/>
    <x v="4"/>
    <x v="0"/>
  </r>
  <r>
    <n v="916"/>
    <x v="6"/>
    <x v="0"/>
    <x v="0"/>
    <s v="Angioplasty"/>
    <n v="15000"/>
    <n v="66"/>
    <s v="Yes"/>
    <x v="0"/>
    <n v="3"/>
    <x v="0"/>
    <x v="4"/>
    <x v="1"/>
  </r>
  <r>
    <n v="917"/>
    <x v="15"/>
    <x v="1"/>
    <x v="1"/>
    <s v="Insulin Therapy"/>
    <n v="2000"/>
    <n v="64"/>
    <s v="No"/>
    <x v="1"/>
    <n v="4"/>
    <x v="2"/>
    <x v="4"/>
    <x v="0"/>
  </r>
  <r>
    <n v="918"/>
    <x v="16"/>
    <x v="0"/>
    <x v="2"/>
    <s v="X-Ray and Splint"/>
    <n v="500"/>
    <n v="62"/>
    <s v="Yes"/>
    <x v="0"/>
    <n v="5"/>
    <x v="1"/>
    <x v="4"/>
    <x v="0"/>
  </r>
  <r>
    <n v="919"/>
    <x v="17"/>
    <x v="1"/>
    <x v="3"/>
    <s v="CT Scan and Medication"/>
    <n v="10000"/>
    <n v="69"/>
    <s v="No"/>
    <x v="1"/>
    <n v="2"/>
    <x v="2"/>
    <x v="4"/>
    <x v="2"/>
  </r>
  <r>
    <n v="920"/>
    <x v="18"/>
    <x v="0"/>
    <x v="4"/>
    <s v="Surgery and Chemotherapy"/>
    <n v="25000"/>
    <n v="71"/>
    <s v="Yes"/>
    <x v="0"/>
    <n v="4"/>
    <x v="0"/>
    <x v="4"/>
    <x v="0"/>
  </r>
  <r>
    <n v="921"/>
    <x v="19"/>
    <x v="1"/>
    <x v="5"/>
    <s v="Medication and Counseling"/>
    <n v="1000"/>
    <n v="65"/>
    <s v="No"/>
    <x v="1"/>
    <n v="4"/>
    <x v="2"/>
    <x v="4"/>
    <x v="0"/>
  </r>
  <r>
    <n v="922"/>
    <x v="1"/>
    <x v="0"/>
    <x v="6"/>
    <s v="Appendectomy"/>
    <n v="8000"/>
    <n v="67"/>
    <s v="Yes"/>
    <x v="0"/>
    <n v="3"/>
    <x v="0"/>
    <x v="4"/>
    <x v="1"/>
  </r>
  <r>
    <n v="923"/>
    <x v="0"/>
    <x v="1"/>
    <x v="7"/>
    <s v="Cast and Physical Therapy"/>
    <n v="3000"/>
    <n v="67"/>
    <s v="No"/>
    <x v="0"/>
    <n v="4"/>
    <x v="0"/>
    <x v="4"/>
    <x v="0"/>
  </r>
  <r>
    <n v="924"/>
    <x v="3"/>
    <x v="0"/>
    <x v="8"/>
    <s v="Cardiac Catheterization"/>
    <n v="18000"/>
    <n v="69"/>
    <s v="Yes"/>
    <x v="1"/>
    <n v="2"/>
    <x v="2"/>
    <x v="4"/>
    <x v="2"/>
  </r>
  <r>
    <n v="925"/>
    <x v="20"/>
    <x v="1"/>
    <x v="9"/>
    <s v="Epinephrine Injection"/>
    <n v="100"/>
    <n v="62"/>
    <s v="No"/>
    <x v="0"/>
    <n v="5"/>
    <x v="1"/>
    <x v="4"/>
    <x v="0"/>
  </r>
  <r>
    <n v="926"/>
    <x v="13"/>
    <x v="0"/>
    <x v="10"/>
    <s v="Antibiotics and Rest"/>
    <n v="800"/>
    <n v="63"/>
    <s v="No"/>
    <x v="1"/>
    <n v="4"/>
    <x v="0"/>
    <x v="4"/>
    <x v="0"/>
  </r>
  <r>
    <n v="927"/>
    <x v="21"/>
    <x v="1"/>
    <x v="11"/>
    <s v="Radiation Therapy"/>
    <n v="20000"/>
    <n v="70"/>
    <s v="No"/>
    <x v="0"/>
    <n v="3"/>
    <x v="2"/>
    <x v="4"/>
    <x v="1"/>
  </r>
  <r>
    <n v="928"/>
    <x v="16"/>
    <x v="0"/>
    <x v="12"/>
    <s v="Delivery and Postnatal Care"/>
    <n v="12000"/>
    <n v="64"/>
    <s v="No"/>
    <x v="0"/>
    <n v="4"/>
    <x v="1"/>
    <x v="4"/>
    <x v="0"/>
  </r>
  <r>
    <n v="929"/>
    <x v="4"/>
    <x v="1"/>
    <x v="13"/>
    <s v="Lithotripsy"/>
    <n v="6000"/>
    <n v="65"/>
    <s v="No"/>
    <x v="0"/>
    <n v="3"/>
    <x v="0"/>
    <x v="4"/>
    <x v="1"/>
  </r>
  <r>
    <n v="930"/>
    <x v="1"/>
    <x v="0"/>
    <x v="14"/>
    <s v="Physical Therapy and Pain Management"/>
    <n v="4000"/>
    <n v="66"/>
    <s v="No"/>
    <x v="1"/>
    <n v="4"/>
    <x v="0"/>
    <x v="4"/>
    <x v="0"/>
  </r>
  <r>
    <n v="931"/>
    <x v="10"/>
    <x v="0"/>
    <x v="0"/>
    <s v="Angioplasty"/>
    <n v="15000"/>
    <n v="67"/>
    <s v="Yes"/>
    <x v="0"/>
    <n v="4"/>
    <x v="0"/>
    <x v="4"/>
    <x v="0"/>
  </r>
  <r>
    <n v="932"/>
    <x v="11"/>
    <x v="1"/>
    <x v="1"/>
    <s v="Insulin Therapy"/>
    <n v="2000"/>
    <n v="65"/>
    <s v="No"/>
    <x v="1"/>
    <n v="3"/>
    <x v="2"/>
    <x v="4"/>
    <x v="1"/>
  </r>
  <r>
    <n v="933"/>
    <x v="12"/>
    <x v="0"/>
    <x v="2"/>
    <s v="X-Ray and Splint"/>
    <n v="500"/>
    <n v="63"/>
    <s v="No"/>
    <x v="0"/>
    <n v="5"/>
    <x v="1"/>
    <x v="4"/>
    <x v="0"/>
  </r>
  <r>
    <n v="934"/>
    <x v="8"/>
    <x v="1"/>
    <x v="3"/>
    <s v="CT Scan and Medication"/>
    <n v="10000"/>
    <n v="70"/>
    <s v="Yes"/>
    <x v="1"/>
    <n v="2"/>
    <x v="2"/>
    <x v="4"/>
    <x v="2"/>
  </r>
  <r>
    <n v="935"/>
    <x v="6"/>
    <x v="0"/>
    <x v="4"/>
    <s v="Surgery and Chemotherapy"/>
    <n v="25000"/>
    <n v="72"/>
    <s v="No"/>
    <x v="0"/>
    <n v="4"/>
    <x v="0"/>
    <x v="4"/>
    <x v="0"/>
  </r>
  <r>
    <n v="936"/>
    <x v="5"/>
    <x v="1"/>
    <x v="5"/>
    <s v="Medication and Counseling"/>
    <n v="1000"/>
    <n v="66"/>
    <s v="No"/>
    <x v="1"/>
    <n v="4"/>
    <x v="2"/>
    <x v="4"/>
    <x v="0"/>
  </r>
  <r>
    <n v="937"/>
    <x v="0"/>
    <x v="0"/>
    <x v="6"/>
    <s v="Appendectomy"/>
    <n v="8000"/>
    <n v="68"/>
    <s v="No"/>
    <x v="0"/>
    <n v="3"/>
    <x v="0"/>
    <x v="4"/>
    <x v="1"/>
  </r>
  <r>
    <n v="938"/>
    <x v="7"/>
    <x v="1"/>
    <x v="7"/>
    <s v="Cast and Physical Therapy"/>
    <n v="3000"/>
    <n v="68"/>
    <s v="No"/>
    <x v="0"/>
    <n v="4"/>
    <x v="0"/>
    <x v="4"/>
    <x v="0"/>
  </r>
  <r>
    <n v="939"/>
    <x v="17"/>
    <x v="0"/>
    <x v="8"/>
    <s v="Cardiac Catheterization"/>
    <n v="18000"/>
    <n v="70"/>
    <s v="Yes"/>
    <x v="1"/>
    <n v="2"/>
    <x v="2"/>
    <x v="4"/>
    <x v="2"/>
  </r>
  <r>
    <n v="940"/>
    <x v="9"/>
    <x v="1"/>
    <x v="9"/>
    <s v="Epinephrine Injection"/>
    <n v="100"/>
    <n v="63"/>
    <s v="No"/>
    <x v="0"/>
    <n v="5"/>
    <x v="1"/>
    <x v="4"/>
    <x v="0"/>
  </r>
  <r>
    <n v="941"/>
    <x v="13"/>
    <x v="0"/>
    <x v="10"/>
    <s v="Antibiotics and Rest"/>
    <n v="800"/>
    <n v="64"/>
    <s v="No"/>
    <x v="1"/>
    <n v="4"/>
    <x v="0"/>
    <x v="4"/>
    <x v="0"/>
  </r>
  <r>
    <n v="942"/>
    <x v="14"/>
    <x v="1"/>
    <x v="11"/>
    <s v="Radiation Therapy"/>
    <n v="20000"/>
    <n v="71"/>
    <s v="No"/>
    <x v="0"/>
    <n v="3"/>
    <x v="0"/>
    <x v="4"/>
    <x v="1"/>
  </r>
  <r>
    <n v="943"/>
    <x v="2"/>
    <x v="0"/>
    <x v="12"/>
    <s v="Delivery and Postnatal Care"/>
    <n v="12000"/>
    <n v="65"/>
    <s v="No"/>
    <x v="0"/>
    <n v="4"/>
    <x v="1"/>
    <x v="4"/>
    <x v="0"/>
  </r>
  <r>
    <n v="944"/>
    <x v="6"/>
    <x v="1"/>
    <x v="13"/>
    <s v="Lithotripsy"/>
    <n v="6000"/>
    <n v="66"/>
    <s v="No"/>
    <x v="0"/>
    <n v="3"/>
    <x v="0"/>
    <x v="4"/>
    <x v="1"/>
  </r>
  <r>
    <n v="945"/>
    <x v="11"/>
    <x v="0"/>
    <x v="14"/>
    <s v="Physical Therapy and Pain Management"/>
    <n v="4000"/>
    <n v="67"/>
    <s v="No"/>
    <x v="1"/>
    <n v="4"/>
    <x v="2"/>
    <x v="4"/>
    <x v="0"/>
  </r>
  <r>
    <n v="946"/>
    <x v="6"/>
    <x v="0"/>
    <x v="0"/>
    <s v="Angioplasty"/>
    <n v="15000"/>
    <n v="68"/>
    <s v="Yes"/>
    <x v="0"/>
    <n v="3"/>
    <x v="0"/>
    <x v="4"/>
    <x v="1"/>
  </r>
  <r>
    <n v="947"/>
    <x v="15"/>
    <x v="1"/>
    <x v="1"/>
    <s v="Insulin Therapy"/>
    <n v="2000"/>
    <n v="66"/>
    <s v="No"/>
    <x v="1"/>
    <n v="4"/>
    <x v="2"/>
    <x v="4"/>
    <x v="0"/>
  </r>
  <r>
    <n v="948"/>
    <x v="16"/>
    <x v="0"/>
    <x v="2"/>
    <s v="X-Ray and Splint"/>
    <n v="500"/>
    <n v="64"/>
    <s v="Yes"/>
    <x v="0"/>
    <n v="5"/>
    <x v="1"/>
    <x v="4"/>
    <x v="0"/>
  </r>
  <r>
    <n v="949"/>
    <x v="17"/>
    <x v="1"/>
    <x v="3"/>
    <s v="CT Scan and Medication"/>
    <n v="10000"/>
    <n v="71"/>
    <s v="No"/>
    <x v="1"/>
    <n v="2"/>
    <x v="2"/>
    <x v="4"/>
    <x v="2"/>
  </r>
  <r>
    <n v="950"/>
    <x v="18"/>
    <x v="0"/>
    <x v="4"/>
    <s v="Surgery and Chemotherapy"/>
    <n v="25000"/>
    <n v="73"/>
    <s v="Yes"/>
    <x v="0"/>
    <n v="4"/>
    <x v="0"/>
    <x v="4"/>
    <x v="0"/>
  </r>
  <r>
    <n v="951"/>
    <x v="19"/>
    <x v="1"/>
    <x v="5"/>
    <s v="Medication and Counseling"/>
    <n v="1000"/>
    <n v="67"/>
    <s v="No"/>
    <x v="1"/>
    <n v="4"/>
    <x v="2"/>
    <x v="4"/>
    <x v="0"/>
  </r>
  <r>
    <n v="952"/>
    <x v="1"/>
    <x v="0"/>
    <x v="6"/>
    <s v="Appendectomy"/>
    <n v="8000"/>
    <n v="69"/>
    <s v="Yes"/>
    <x v="0"/>
    <n v="3"/>
    <x v="0"/>
    <x v="4"/>
    <x v="1"/>
  </r>
  <r>
    <n v="953"/>
    <x v="0"/>
    <x v="1"/>
    <x v="7"/>
    <s v="Cast and Physical Therapy"/>
    <n v="3000"/>
    <n v="69"/>
    <s v="No"/>
    <x v="0"/>
    <n v="4"/>
    <x v="0"/>
    <x v="4"/>
    <x v="0"/>
  </r>
  <r>
    <n v="954"/>
    <x v="3"/>
    <x v="0"/>
    <x v="8"/>
    <s v="Cardiac Catheterization"/>
    <n v="18000"/>
    <n v="71"/>
    <s v="Yes"/>
    <x v="1"/>
    <n v="2"/>
    <x v="2"/>
    <x v="4"/>
    <x v="2"/>
  </r>
  <r>
    <n v="955"/>
    <x v="20"/>
    <x v="1"/>
    <x v="9"/>
    <s v="Epinephrine Injection"/>
    <n v="100"/>
    <n v="64"/>
    <s v="No"/>
    <x v="0"/>
    <n v="5"/>
    <x v="1"/>
    <x v="4"/>
    <x v="0"/>
  </r>
  <r>
    <n v="956"/>
    <x v="13"/>
    <x v="0"/>
    <x v="10"/>
    <s v="Antibiotics and Rest"/>
    <n v="800"/>
    <n v="65"/>
    <s v="No"/>
    <x v="1"/>
    <n v="4"/>
    <x v="0"/>
    <x v="4"/>
    <x v="0"/>
  </r>
  <r>
    <n v="957"/>
    <x v="21"/>
    <x v="1"/>
    <x v="11"/>
    <s v="Radiation Therapy"/>
    <n v="20000"/>
    <n v="72"/>
    <s v="No"/>
    <x v="0"/>
    <n v="3"/>
    <x v="2"/>
    <x v="4"/>
    <x v="1"/>
  </r>
  <r>
    <n v="958"/>
    <x v="16"/>
    <x v="0"/>
    <x v="12"/>
    <s v="Delivery and Postnatal Care"/>
    <n v="12000"/>
    <n v="66"/>
    <s v="No"/>
    <x v="0"/>
    <n v="4"/>
    <x v="1"/>
    <x v="4"/>
    <x v="0"/>
  </r>
  <r>
    <n v="959"/>
    <x v="4"/>
    <x v="1"/>
    <x v="13"/>
    <s v="Lithotripsy"/>
    <n v="6000"/>
    <n v="67"/>
    <s v="No"/>
    <x v="0"/>
    <n v="3"/>
    <x v="0"/>
    <x v="4"/>
    <x v="1"/>
  </r>
  <r>
    <n v="960"/>
    <x v="1"/>
    <x v="0"/>
    <x v="14"/>
    <s v="Physical Therapy and Pain Management"/>
    <n v="4000"/>
    <n v="68"/>
    <s v="No"/>
    <x v="1"/>
    <n v="4"/>
    <x v="0"/>
    <x v="4"/>
    <x v="0"/>
  </r>
  <r>
    <n v="961"/>
    <x v="10"/>
    <x v="0"/>
    <x v="0"/>
    <s v="Angioplasty"/>
    <n v="15000"/>
    <n v="69"/>
    <s v="Yes"/>
    <x v="0"/>
    <n v="4"/>
    <x v="0"/>
    <x v="4"/>
    <x v="0"/>
  </r>
  <r>
    <n v="962"/>
    <x v="11"/>
    <x v="1"/>
    <x v="1"/>
    <s v="Insulin Therapy"/>
    <n v="2000"/>
    <n v="67"/>
    <s v="No"/>
    <x v="1"/>
    <n v="3"/>
    <x v="2"/>
    <x v="4"/>
    <x v="1"/>
  </r>
  <r>
    <n v="963"/>
    <x v="12"/>
    <x v="0"/>
    <x v="2"/>
    <s v="X-Ray and Splint"/>
    <n v="500"/>
    <n v="65"/>
    <s v="No"/>
    <x v="0"/>
    <n v="5"/>
    <x v="1"/>
    <x v="4"/>
    <x v="0"/>
  </r>
  <r>
    <n v="964"/>
    <x v="8"/>
    <x v="1"/>
    <x v="3"/>
    <s v="CT Scan and Medication"/>
    <n v="10000"/>
    <n v="72"/>
    <s v="Yes"/>
    <x v="1"/>
    <n v="2"/>
    <x v="2"/>
    <x v="4"/>
    <x v="2"/>
  </r>
  <r>
    <n v="965"/>
    <x v="6"/>
    <x v="0"/>
    <x v="4"/>
    <s v="Surgery and Chemotherapy"/>
    <n v="25000"/>
    <n v="74"/>
    <s v="No"/>
    <x v="0"/>
    <n v="4"/>
    <x v="0"/>
    <x v="4"/>
    <x v="0"/>
  </r>
  <r>
    <n v="966"/>
    <x v="5"/>
    <x v="1"/>
    <x v="5"/>
    <s v="Medication and Counseling"/>
    <n v="1000"/>
    <n v="68"/>
    <s v="No"/>
    <x v="1"/>
    <n v="4"/>
    <x v="2"/>
    <x v="4"/>
    <x v="0"/>
  </r>
  <r>
    <n v="968"/>
    <x v="7"/>
    <x v="1"/>
    <x v="7"/>
    <s v="Cast and Physical Therapy"/>
    <n v="3000"/>
    <n v="70"/>
    <s v="No"/>
    <x v="0"/>
    <n v="4"/>
    <x v="0"/>
    <x v="4"/>
    <x v="0"/>
  </r>
  <r>
    <n v="969"/>
    <x v="17"/>
    <x v="0"/>
    <x v="8"/>
    <s v="Cardiac Catheterization"/>
    <n v="18000"/>
    <n v="72"/>
    <s v="Yes"/>
    <x v="1"/>
    <n v="2"/>
    <x v="2"/>
    <x v="4"/>
    <x v="2"/>
  </r>
  <r>
    <n v="970"/>
    <x v="9"/>
    <x v="1"/>
    <x v="9"/>
    <s v="Epinephrine Injection"/>
    <n v="100"/>
    <n v="65"/>
    <s v="No"/>
    <x v="0"/>
    <n v="5"/>
    <x v="1"/>
    <x v="4"/>
    <x v="0"/>
  </r>
  <r>
    <n v="971"/>
    <x v="13"/>
    <x v="0"/>
    <x v="10"/>
    <s v="Antibiotics and Rest"/>
    <n v="800"/>
    <n v="66"/>
    <s v="No"/>
    <x v="1"/>
    <n v="4"/>
    <x v="0"/>
    <x v="4"/>
    <x v="0"/>
  </r>
  <r>
    <n v="972"/>
    <x v="14"/>
    <x v="1"/>
    <x v="11"/>
    <s v="Radiation Therapy"/>
    <n v="20000"/>
    <n v="73"/>
    <s v="No"/>
    <x v="0"/>
    <n v="3"/>
    <x v="0"/>
    <x v="4"/>
    <x v="1"/>
  </r>
  <r>
    <n v="973"/>
    <x v="2"/>
    <x v="0"/>
    <x v="12"/>
    <s v="Delivery and Postnatal Care"/>
    <n v="12000"/>
    <n v="67"/>
    <s v="No"/>
    <x v="0"/>
    <n v="4"/>
    <x v="1"/>
    <x v="4"/>
    <x v="0"/>
  </r>
  <r>
    <n v="974"/>
    <x v="6"/>
    <x v="1"/>
    <x v="13"/>
    <s v="Lithotripsy"/>
    <n v="6000"/>
    <n v="68"/>
    <s v="No"/>
    <x v="0"/>
    <n v="3"/>
    <x v="0"/>
    <x v="4"/>
    <x v="1"/>
  </r>
  <r>
    <n v="975"/>
    <x v="11"/>
    <x v="0"/>
    <x v="14"/>
    <s v="Physical Therapy and Pain Management"/>
    <n v="4000"/>
    <n v="69"/>
    <s v="No"/>
    <x v="1"/>
    <n v="4"/>
    <x v="2"/>
    <x v="4"/>
    <x v="0"/>
  </r>
  <r>
    <n v="976"/>
    <x v="6"/>
    <x v="0"/>
    <x v="0"/>
    <s v="Angioplasty"/>
    <n v="15000"/>
    <n v="70"/>
    <s v="Yes"/>
    <x v="0"/>
    <n v="3"/>
    <x v="0"/>
    <x v="4"/>
    <x v="1"/>
  </r>
  <r>
    <n v="977"/>
    <x v="15"/>
    <x v="1"/>
    <x v="1"/>
    <s v="Insulin Therapy"/>
    <n v="2000"/>
    <n v="68"/>
    <s v="No"/>
    <x v="1"/>
    <n v="4"/>
    <x v="2"/>
    <x v="4"/>
    <x v="0"/>
  </r>
  <r>
    <n v="978"/>
    <x v="16"/>
    <x v="0"/>
    <x v="2"/>
    <s v="X-Ray and Splint"/>
    <n v="500"/>
    <n v="66"/>
    <s v="Yes"/>
    <x v="0"/>
    <n v="5"/>
    <x v="1"/>
    <x v="4"/>
    <x v="0"/>
  </r>
  <r>
    <n v="979"/>
    <x v="17"/>
    <x v="1"/>
    <x v="3"/>
    <s v="CT Scan and Medication"/>
    <n v="10000"/>
    <n v="73"/>
    <s v="No"/>
    <x v="1"/>
    <n v="2"/>
    <x v="2"/>
    <x v="4"/>
    <x v="2"/>
  </r>
  <r>
    <n v="980"/>
    <x v="18"/>
    <x v="0"/>
    <x v="4"/>
    <s v="Surgery and Chemotherapy"/>
    <n v="25000"/>
    <n v="75"/>
    <s v="Yes"/>
    <x v="0"/>
    <n v="4"/>
    <x v="0"/>
    <x v="4"/>
    <x v="0"/>
  </r>
  <r>
    <n v="981"/>
    <x v="19"/>
    <x v="1"/>
    <x v="5"/>
    <s v="Medication and Counseling"/>
    <n v="1000"/>
    <n v="69"/>
    <s v="No"/>
    <x v="1"/>
    <n v="4"/>
    <x v="2"/>
    <x v="4"/>
    <x v="0"/>
  </r>
  <r>
    <n v="982"/>
    <x v="1"/>
    <x v="0"/>
    <x v="6"/>
    <s v="Appendectomy"/>
    <n v="8000"/>
    <n v="71"/>
    <s v="Yes"/>
    <x v="0"/>
    <n v="3"/>
    <x v="0"/>
    <x v="4"/>
    <x v="1"/>
  </r>
  <r>
    <n v="983"/>
    <x v="0"/>
    <x v="1"/>
    <x v="7"/>
    <s v="Cast and Physical Therapy"/>
    <n v="3000"/>
    <n v="71"/>
    <s v="No"/>
    <x v="0"/>
    <n v="4"/>
    <x v="0"/>
    <x v="4"/>
    <x v="0"/>
  </r>
  <r>
    <n v="984"/>
    <x v="3"/>
    <x v="0"/>
    <x v="8"/>
    <s v="Cardiac Catheterization"/>
    <n v="18000"/>
    <n v="73"/>
    <s v="Yes"/>
    <x v="1"/>
    <n v="2"/>
    <x v="2"/>
    <x v="4"/>
    <x v="2"/>
  </r>
  <r>
    <n v="985"/>
    <x v="20"/>
    <x v="1"/>
    <x v="9"/>
    <s v="Epinephrine Injection"/>
    <n v="100"/>
    <n v="67"/>
    <s v="No"/>
    <x v="0"/>
    <n v="5"/>
    <x v="1"/>
    <x v="4"/>
    <x v="0"/>
  </r>
  <r>
    <n v="986"/>
    <x v="13"/>
    <x v="0"/>
    <x v="10"/>
    <s v="Antibiotics and Rest"/>
    <n v="800"/>
    <n v="68"/>
    <s v="No"/>
    <x v="1"/>
    <n v="4"/>
    <x v="0"/>
    <x v="4"/>
    <x v="0"/>
  </r>
  <r>
    <n v="987"/>
    <x v="21"/>
    <x v="1"/>
    <x v="11"/>
    <s v="Radiation Therapy"/>
    <n v="20000"/>
    <n v="74"/>
    <s v="No"/>
    <x v="0"/>
    <n v="3"/>
    <x v="2"/>
    <x v="4"/>
    <x v="1"/>
  </r>
  <r>
    <n v="988"/>
    <x v="16"/>
    <x v="0"/>
    <x v="12"/>
    <s v="Delivery and Postnatal Care"/>
    <n v="12000"/>
    <n v="68"/>
    <s v="No"/>
    <x v="0"/>
    <n v="4"/>
    <x v="1"/>
    <x v="4"/>
    <x v="0"/>
  </r>
  <r>
    <n v="989"/>
    <x v="4"/>
    <x v="1"/>
    <x v="13"/>
    <s v="Lithotripsy"/>
    <n v="6000"/>
    <n v="69"/>
    <s v="No"/>
    <x v="0"/>
    <n v="3"/>
    <x v="0"/>
    <x v="4"/>
    <x v="1"/>
  </r>
  <r>
    <n v="990"/>
    <x v="1"/>
    <x v="0"/>
    <x v="14"/>
    <s v="Physical Therapy and Pain Management"/>
    <n v="4000"/>
    <n v="70"/>
    <s v="No"/>
    <x v="1"/>
    <n v="4"/>
    <x v="0"/>
    <x v="4"/>
    <x v="0"/>
  </r>
  <r>
    <n v="991"/>
    <x v="10"/>
    <x v="0"/>
    <x v="0"/>
    <s v="Angioplasty"/>
    <n v="15000"/>
    <n v="71"/>
    <s v="Yes"/>
    <x v="0"/>
    <n v="4"/>
    <x v="0"/>
    <x v="4"/>
    <x v="0"/>
  </r>
  <r>
    <n v="992"/>
    <x v="11"/>
    <x v="1"/>
    <x v="1"/>
    <s v="Insulin Therapy"/>
    <n v="2000"/>
    <n v="69"/>
    <s v="No"/>
    <x v="1"/>
    <n v="3"/>
    <x v="2"/>
    <x v="4"/>
    <x v="1"/>
  </r>
  <r>
    <n v="993"/>
    <x v="12"/>
    <x v="0"/>
    <x v="2"/>
    <s v="X-Ray and Splint"/>
    <n v="500"/>
    <n v="67"/>
    <s v="No"/>
    <x v="0"/>
    <n v="5"/>
    <x v="1"/>
    <x v="4"/>
    <x v="0"/>
  </r>
  <r>
    <n v="994"/>
    <x v="8"/>
    <x v="1"/>
    <x v="3"/>
    <s v="CT Scan and Medication"/>
    <n v="10000"/>
    <n v="74"/>
    <s v="Yes"/>
    <x v="1"/>
    <n v="2"/>
    <x v="2"/>
    <x v="4"/>
    <x v="2"/>
  </r>
  <r>
    <n v="995"/>
    <x v="6"/>
    <x v="0"/>
    <x v="4"/>
    <s v="Surgery and Chemotherapy"/>
    <n v="25000"/>
    <n v="76"/>
    <s v="No"/>
    <x v="0"/>
    <n v="4"/>
    <x v="0"/>
    <x v="4"/>
    <x v="0"/>
  </r>
  <r>
    <n v="996"/>
    <x v="5"/>
    <x v="1"/>
    <x v="5"/>
    <s v="Medication and Counseling"/>
    <n v="1000"/>
    <n v="70"/>
    <s v="No"/>
    <x v="1"/>
    <n v="4"/>
    <x v="2"/>
    <x v="4"/>
    <x v="0"/>
  </r>
  <r>
    <n v="997"/>
    <x v="0"/>
    <x v="0"/>
    <x v="6"/>
    <s v="Appendectomy"/>
    <n v="8000"/>
    <n v="72"/>
    <s v="No"/>
    <x v="0"/>
    <n v="3"/>
    <x v="0"/>
    <x v="4"/>
    <x v="1"/>
  </r>
  <r>
    <n v="998"/>
    <x v="7"/>
    <x v="1"/>
    <x v="7"/>
    <s v="Cast and Physical Therapy"/>
    <n v="3000"/>
    <n v="72"/>
    <s v="No"/>
    <x v="0"/>
    <n v="4"/>
    <x v="0"/>
    <x v="4"/>
    <x v="0"/>
  </r>
  <r>
    <n v="999"/>
    <x v="17"/>
    <x v="0"/>
    <x v="8"/>
    <s v="Cardiac Catheterization"/>
    <n v="18000"/>
    <n v="74"/>
    <s v="Yes"/>
    <x v="1"/>
    <n v="2"/>
    <x v="2"/>
    <x v="4"/>
    <x v="2"/>
  </r>
  <r>
    <n v="1000"/>
    <x v="9"/>
    <x v="1"/>
    <x v="9"/>
    <s v="Epinephrine Injection"/>
    <n v="100"/>
    <n v="68"/>
    <s v="No"/>
    <x v="0"/>
    <n v="5"/>
    <x v="1"/>
    <x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C0AC1A-2D92-4441-8EEB-BE2B4703D154}" name="PivotTable20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9">
  <location ref="D56:E60" firstHeaderRow="1" firstDataRow="1" firstDataCol="1"/>
  <pivotFields count="13">
    <pivotField showAll="0"/>
    <pivotField showAll="0">
      <items count="23">
        <item x="9"/>
        <item x="20"/>
        <item x="12"/>
        <item x="2"/>
        <item x="16"/>
        <item x="7"/>
        <item x="0"/>
        <item x="10"/>
        <item x="4"/>
        <item x="13"/>
        <item x="18"/>
        <item x="6"/>
        <item x="14"/>
        <item x="1"/>
        <item x="15"/>
        <item x="11"/>
        <item x="21"/>
        <item x="5"/>
        <item x="8"/>
        <item x="19"/>
        <item x="3"/>
        <item x="17"/>
        <item t="default"/>
      </items>
    </pivotField>
    <pivotField showAll="0">
      <items count="3">
        <item x="0"/>
        <item x="1"/>
        <item t="default"/>
      </items>
    </pivotField>
    <pivotField showAll="0">
      <items count="16">
        <item x="9"/>
        <item x="6"/>
        <item x="4"/>
        <item x="12"/>
        <item x="1"/>
        <item x="2"/>
        <item x="7"/>
        <item x="8"/>
        <item x="0"/>
        <item x="5"/>
        <item x="13"/>
        <item x="14"/>
        <item x="11"/>
        <item x="10"/>
        <item x="3"/>
        <item t="default"/>
      </items>
    </pivotField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>
      <items count="4">
        <item x="0"/>
        <item x="2"/>
        <item x="1"/>
        <item t="default"/>
      </items>
    </pivotField>
    <pivotField showAll="0">
      <items count="6">
        <item x="4"/>
        <item x="3"/>
        <item x="2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atisfaction" fld="9" subtotal="count" baseField="11" baseItem="2"/>
  </dataFields>
  <chartFormats count="4">
    <chartFormat chart="5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8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8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8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2C156-F0AE-45F8-8F81-5B9039C5112B}" name="PivotTable19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7">
  <location ref="C41:D47" firstHeaderRow="1" firstDataRow="1" firstDataCol="1"/>
  <pivotFields count="13">
    <pivotField showAll="0"/>
    <pivotField showAll="0">
      <items count="23">
        <item x="9"/>
        <item x="20"/>
        <item x="12"/>
        <item x="2"/>
        <item x="16"/>
        <item x="7"/>
        <item x="0"/>
        <item x="10"/>
        <item x="4"/>
        <item x="13"/>
        <item x="18"/>
        <item x="6"/>
        <item x="14"/>
        <item x="1"/>
        <item x="15"/>
        <item x="11"/>
        <item x="21"/>
        <item x="5"/>
        <item x="8"/>
        <item x="19"/>
        <item x="3"/>
        <item x="17"/>
        <item t="default"/>
      </items>
    </pivotField>
    <pivotField showAll="0">
      <items count="3">
        <item x="0"/>
        <item x="1"/>
        <item t="default"/>
      </items>
    </pivotField>
    <pivotField showAll="0">
      <items count="16">
        <item x="9"/>
        <item x="6"/>
        <item x="4"/>
        <item x="12"/>
        <item x="1"/>
        <item x="2"/>
        <item x="7"/>
        <item x="8"/>
        <item x="0"/>
        <item x="5"/>
        <item x="13"/>
        <item x="14"/>
        <item x="11"/>
        <item x="10"/>
        <item x="3"/>
        <item t="default"/>
      </items>
    </pivotField>
    <pivotField showAll="0"/>
    <pivotField showAll="0"/>
    <pivotField dataField="1" showAll="0"/>
    <pivotField showAll="0"/>
    <pivotField showAll="0">
      <items count="3">
        <item x="0"/>
        <item x="1"/>
        <item t="default"/>
      </items>
    </pivotField>
    <pivotField showAll="0"/>
    <pivotField showAll="0">
      <items count="4">
        <item x="0"/>
        <item x="2"/>
        <item x="1"/>
        <item t="default"/>
      </items>
    </pivotField>
    <pivotField axis="axisRow" showAll="0">
      <items count="6">
        <item x="4"/>
        <item x="3"/>
        <item x="2"/>
        <item x="0"/>
        <item x="1"/>
        <item t="default"/>
      </items>
    </pivotField>
    <pivotField showAll="0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Length_of_Stay" fld="6" baseField="0" baseItem="0"/>
  </dataFields>
  <chartFormats count="1"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A3679-30FC-4D6F-9752-730C481044B6}" name="PivotTable18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B30:E34" firstHeaderRow="1" firstDataRow="2" firstDataCol="1"/>
  <pivotFields count="13">
    <pivotField dataField="1" showAll="0"/>
    <pivotField showAll="0"/>
    <pivotField axis="axisCol" showAll="0">
      <items count="3">
        <item x="0"/>
        <item x="1"/>
        <item t="default"/>
      </items>
    </pivotField>
    <pivotField showAll="0" measureFilter="1" sortType="descending">
      <items count="16">
        <item x="9"/>
        <item x="6"/>
        <item x="4"/>
        <item x="12"/>
        <item x="1"/>
        <item x="2"/>
        <item x="7"/>
        <item x="8"/>
        <item x="0"/>
        <item x="5"/>
        <item x="13"/>
        <item x="14"/>
        <item x="11"/>
        <item x="1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Patient_ID" fld="0" subtotal="count" baseField="8" baseItem="0"/>
  </dataFields>
  <formats count="1">
    <format dxfId="0">
      <pivotArea collapsedLevelsAreSubtotals="1" fieldPosition="0">
        <references count="1">
          <reference field="8" count="0"/>
        </references>
      </pivotArea>
    </format>
  </formats>
  <chartFormats count="4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6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6ED52E-AC7D-4D4F-8F77-EF1EC0C5E818}" name="PivotTable17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19:C25" firstHeaderRow="1" firstDataRow="1" firstDataCol="1"/>
  <pivotFields count="13">
    <pivotField dataField="1" showAll="0"/>
    <pivotField showAll="0"/>
    <pivotField showAll="0">
      <items count="3">
        <item x="0"/>
        <item x="1"/>
        <item t="default"/>
      </items>
    </pivotField>
    <pivotField axis="axisRow" showAll="0" measureFilter="1" sortType="ascending">
      <items count="16">
        <item x="9"/>
        <item x="6"/>
        <item x="4"/>
        <item x="12"/>
        <item x="1"/>
        <item x="2"/>
        <item x="7"/>
        <item x="8"/>
        <item x="0"/>
        <item x="5"/>
        <item x="13"/>
        <item x="14"/>
        <item x="11"/>
        <item x="1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6">
    <i>
      <x v="1"/>
    </i>
    <i>
      <x v="5"/>
    </i>
    <i>
      <x/>
    </i>
    <i>
      <x v="6"/>
    </i>
    <i>
      <x v="7"/>
    </i>
    <i t="grand">
      <x/>
    </i>
  </rowItems>
  <colItems count="1">
    <i/>
  </colItems>
  <dataFields count="1">
    <dataField name="Sum of Patient_ID" fld="0" baseField="0" baseItem="0"/>
  </dataFields>
  <chartFormats count="6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851DBC-56EA-429B-BE68-3126FC78DE8C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B6:E11" firstHeaderRow="1" firstDataRow="2" firstDataCol="1"/>
  <pivotFields count="13">
    <pivotField dataField="1"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Patient_ID" fld="0" subtotal="count" baseField="10" baseItem="0"/>
  </dataFields>
  <chartFormats count="2"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3C0971-96D0-4929-9DF3-767653B2B23F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E3" firstHeaderRow="0" firstDataRow="1" firstDataCol="0"/>
  <pivotFields count="13"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Patient_ID" fld="0" subtotal="count" baseField="0" baseItem="1"/>
    <dataField name="Average of Age" fld="1" subtotal="average" baseField="0" baseItem="1" numFmtId="1"/>
    <dataField name="Average of Length_of_Stay" fld="6" subtotal="average" baseField="0" baseItem="1" numFmtId="1"/>
    <dataField name="Average of Satisfaction" fld="9" subtotal="average" baseField="0" baseItem="3" numFmtId="1"/>
  </dataFields>
  <formats count="3"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CC19E90-A80A-4D95-8EB3-558488723082}" autoFormatId="16" applyNumberFormats="0" applyBorderFormats="0" applyFontFormats="0" applyPatternFormats="0" applyAlignmentFormats="0" applyWidthHeightFormats="0">
  <queryTableRefresh nextId="14">
    <queryTableFields count="13">
      <queryTableField id="1" name="Patient_ID" tableColumnId="1"/>
      <queryTableField id="2" name="Age" tableColumnId="2"/>
      <queryTableField id="3" name="Gender" tableColumnId="3"/>
      <queryTableField id="4" name="Condition" tableColumnId="4"/>
      <queryTableField id="5" name="Procedure" tableColumnId="5"/>
      <queryTableField id="6" name="Cost" tableColumnId="6"/>
      <queryTableField id="7" name="Length_of_Stay" tableColumnId="7"/>
      <queryTableField id="8" name="Readmission" tableColumnId="8"/>
      <queryTableField id="9" name="Outcome" tableColumnId="9"/>
      <queryTableField id="10" name="Satisfaction" tableColumnId="10"/>
      <queryTableField id="11" name="Age Group" tableColumnId="11"/>
      <queryTableField id="12" name="Admission Days" tableColumnId="12"/>
      <queryTableField id="13" name="Customer Rating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6AB390-6C6B-49B3-BD92-39416DEBC140}" name="hospital_data_analysis" displayName="hospital_data_analysis" ref="A1:M985" tableType="queryTable" totalsRowShown="0">
  <autoFilter ref="A1:M985" xr:uid="{BE6AB390-6C6B-49B3-BD92-39416DEBC140}"/>
  <tableColumns count="13">
    <tableColumn id="1" xr3:uid="{837B7442-9377-47F4-9930-0E1D33F7ADBE}" uniqueName="1" name="Patient_ID" queryTableFieldId="1"/>
    <tableColumn id="2" xr3:uid="{50923887-D7DD-4408-827F-530B19E66C4F}" uniqueName="2" name="Age" queryTableFieldId="2"/>
    <tableColumn id="3" xr3:uid="{6EDF4744-910F-4591-9D46-9DB48DEBEA08}" uniqueName="3" name="Gender" queryTableFieldId="3" dataDxfId="8"/>
    <tableColumn id="4" xr3:uid="{BE95CEB6-D697-4833-8547-5A159B82C401}" uniqueName="4" name="Condition" queryTableFieldId="4" dataDxfId="7"/>
    <tableColumn id="5" xr3:uid="{057513A6-AAAB-40CB-8A56-B97DB6F05D07}" uniqueName="5" name="Procedure" queryTableFieldId="5" dataDxfId="6"/>
    <tableColumn id="6" xr3:uid="{60392F6F-AE61-4894-BC22-DEAC50EB2A8E}" uniqueName="6" name="Cost" queryTableFieldId="6"/>
    <tableColumn id="7" xr3:uid="{3CC723D3-057F-467D-B56F-6FF5822D53D3}" uniqueName="7" name="Length_of_Stay" queryTableFieldId="7"/>
    <tableColumn id="8" xr3:uid="{701C4DE7-0054-4F2C-9E9A-8C6D2423BB8A}" uniqueName="8" name="Readmission" queryTableFieldId="8" dataDxfId="5"/>
    <tableColumn id="9" xr3:uid="{D1022ACC-CD1C-4A53-A548-B08F9995F9C8}" uniqueName="9" name="Outcome" queryTableFieldId="9" dataDxfId="4"/>
    <tableColumn id="10" xr3:uid="{C800AA45-506E-4316-872E-937F58EF71E8}" uniqueName="10" name="Satisfaction" queryTableFieldId="10"/>
    <tableColumn id="11" xr3:uid="{92573F93-916A-4FFC-A7FE-ED0D561D74A0}" uniqueName="11" name="Age Group" queryTableFieldId="11"/>
    <tableColumn id="12" xr3:uid="{A2F7A5D8-247C-4026-B218-6C553EC0E9ED}" uniqueName="12" name="Admission Days" queryTableFieldId="12"/>
    <tableColumn id="13" xr3:uid="{DB67B179-7D44-40F7-AA73-D616D52CB7F2}" uniqueName="13" name="Customer Rating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9C576-0A9A-49B2-8F38-C34C8C30617F}">
  <dimension ref="A1"/>
  <sheetViews>
    <sheetView showGridLines="0" tabSelected="1" zoomScale="70" zoomScaleNormal="70" workbookViewId="0">
      <selection activeCell="AB12" sqref="AB12"/>
    </sheetView>
  </sheetViews>
  <sheetFormatPr defaultRowHeight="14.5" x14ac:dyDescent="0.35"/>
  <cols>
    <col min="1" max="16384" width="8.7265625" style="5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DF7AF-5E8A-4C98-9DD4-EAF4B3F01E4F}">
  <dimension ref="A1:M985"/>
  <sheetViews>
    <sheetView topLeftCell="A2" workbookViewId="0">
      <selection activeCell="E12" sqref="E12"/>
    </sheetView>
  </sheetViews>
  <sheetFormatPr defaultRowHeight="14.5" x14ac:dyDescent="0.35"/>
  <cols>
    <col min="1" max="1" width="12.08984375" bestFit="1" customWidth="1"/>
    <col min="2" max="2" width="6.54296875" bestFit="1" customWidth="1"/>
    <col min="3" max="3" width="9.6328125" bestFit="1" customWidth="1"/>
    <col min="4" max="4" width="18.90625" bestFit="1" customWidth="1"/>
    <col min="5" max="5" width="35" bestFit="1" customWidth="1"/>
    <col min="6" max="6" width="6.90625" bestFit="1" customWidth="1"/>
    <col min="7" max="7" width="16.36328125" bestFit="1" customWidth="1"/>
    <col min="8" max="8" width="14" bestFit="1" customWidth="1"/>
    <col min="9" max="9" width="11" bestFit="1" customWidth="1"/>
    <col min="10" max="10" width="13.08984375" bestFit="1" customWidth="1"/>
    <col min="11" max="11" width="12.26953125" bestFit="1" customWidth="1"/>
    <col min="12" max="12" width="16.6328125" bestFit="1" customWidth="1"/>
    <col min="13" max="13" width="17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46</v>
      </c>
      <c r="L1" t="s">
        <v>47</v>
      </c>
      <c r="M1" t="s">
        <v>48</v>
      </c>
    </row>
    <row r="2" spans="1:13" x14ac:dyDescent="0.35">
      <c r="A2">
        <v>1</v>
      </c>
      <c r="B2">
        <v>45</v>
      </c>
      <c r="C2" s="1" t="s">
        <v>10</v>
      </c>
      <c r="D2" s="1" t="s">
        <v>11</v>
      </c>
      <c r="E2" s="1" t="s">
        <v>12</v>
      </c>
      <c r="F2">
        <v>15000</v>
      </c>
      <c r="G2">
        <v>5</v>
      </c>
      <c r="H2" s="1" t="s">
        <v>13</v>
      </c>
      <c r="I2" s="1" t="s">
        <v>14</v>
      </c>
      <c r="J2">
        <v>4</v>
      </c>
      <c r="K2" t="s">
        <v>49</v>
      </c>
      <c r="L2" t="s">
        <v>50</v>
      </c>
      <c r="M2" t="s">
        <v>51</v>
      </c>
    </row>
    <row r="3" spans="1:13" x14ac:dyDescent="0.35">
      <c r="A3">
        <v>2</v>
      </c>
      <c r="B3">
        <v>60</v>
      </c>
      <c r="C3" s="1" t="s">
        <v>15</v>
      </c>
      <c r="D3" s="1" t="s">
        <v>16</v>
      </c>
      <c r="E3" s="1" t="s">
        <v>17</v>
      </c>
      <c r="F3">
        <v>2000</v>
      </c>
      <c r="G3">
        <v>3</v>
      </c>
      <c r="H3" s="1" t="s">
        <v>18</v>
      </c>
      <c r="I3" s="1" t="s">
        <v>19</v>
      </c>
      <c r="J3">
        <v>3</v>
      </c>
      <c r="K3" t="s">
        <v>49</v>
      </c>
      <c r="L3" t="s">
        <v>50</v>
      </c>
      <c r="M3" t="s">
        <v>52</v>
      </c>
    </row>
    <row r="4" spans="1:13" x14ac:dyDescent="0.35">
      <c r="A4">
        <v>3</v>
      </c>
      <c r="B4">
        <v>32</v>
      </c>
      <c r="C4" s="1" t="s">
        <v>10</v>
      </c>
      <c r="D4" s="1" t="s">
        <v>20</v>
      </c>
      <c r="E4" s="1" t="s">
        <v>21</v>
      </c>
      <c r="F4">
        <v>500</v>
      </c>
      <c r="G4">
        <v>1</v>
      </c>
      <c r="H4" s="1" t="s">
        <v>13</v>
      </c>
      <c r="I4" s="1" t="s">
        <v>14</v>
      </c>
      <c r="J4">
        <v>5</v>
      </c>
      <c r="K4" t="s">
        <v>53</v>
      </c>
      <c r="L4" t="s">
        <v>54</v>
      </c>
      <c r="M4" t="s">
        <v>51</v>
      </c>
    </row>
    <row r="5" spans="1:13" x14ac:dyDescent="0.35">
      <c r="A5">
        <v>4</v>
      </c>
      <c r="B5">
        <v>75</v>
      </c>
      <c r="C5" s="1" t="s">
        <v>15</v>
      </c>
      <c r="D5" s="1" t="s">
        <v>22</v>
      </c>
      <c r="E5" s="1" t="s">
        <v>23</v>
      </c>
      <c r="F5">
        <v>10000</v>
      </c>
      <c r="G5">
        <v>7</v>
      </c>
      <c r="H5" s="1" t="s">
        <v>18</v>
      </c>
      <c r="I5" s="1" t="s">
        <v>19</v>
      </c>
      <c r="J5">
        <v>2</v>
      </c>
      <c r="K5" t="s">
        <v>55</v>
      </c>
      <c r="L5" t="s">
        <v>56</v>
      </c>
      <c r="M5" t="s">
        <v>57</v>
      </c>
    </row>
    <row r="6" spans="1:13" x14ac:dyDescent="0.35">
      <c r="A6">
        <v>5</v>
      </c>
      <c r="B6">
        <v>50</v>
      </c>
      <c r="C6" s="1" t="s">
        <v>10</v>
      </c>
      <c r="D6" s="1" t="s">
        <v>24</v>
      </c>
      <c r="E6" s="1" t="s">
        <v>25</v>
      </c>
      <c r="F6">
        <v>25000</v>
      </c>
      <c r="G6">
        <v>10</v>
      </c>
      <c r="H6" s="1" t="s">
        <v>13</v>
      </c>
      <c r="I6" s="1" t="s">
        <v>14</v>
      </c>
      <c r="J6">
        <v>4</v>
      </c>
      <c r="K6" t="s">
        <v>49</v>
      </c>
      <c r="L6" t="s">
        <v>56</v>
      </c>
      <c r="M6" t="s">
        <v>51</v>
      </c>
    </row>
    <row r="7" spans="1:13" x14ac:dyDescent="0.35">
      <c r="A7">
        <v>6</v>
      </c>
      <c r="B7">
        <v>68</v>
      </c>
      <c r="C7" s="1" t="s">
        <v>15</v>
      </c>
      <c r="D7" s="1" t="s">
        <v>26</v>
      </c>
      <c r="E7" s="1" t="s">
        <v>27</v>
      </c>
      <c r="F7">
        <v>1000</v>
      </c>
      <c r="G7">
        <v>2</v>
      </c>
      <c r="H7" s="1" t="s">
        <v>13</v>
      </c>
      <c r="I7" s="1" t="s">
        <v>19</v>
      </c>
      <c r="J7">
        <v>4</v>
      </c>
      <c r="K7" t="s">
        <v>55</v>
      </c>
      <c r="L7" t="s">
        <v>54</v>
      </c>
      <c r="M7" t="s">
        <v>51</v>
      </c>
    </row>
    <row r="8" spans="1:13" x14ac:dyDescent="0.35">
      <c r="A8">
        <v>7</v>
      </c>
      <c r="B8">
        <v>55</v>
      </c>
      <c r="C8" s="1" t="s">
        <v>10</v>
      </c>
      <c r="D8" s="1" t="s">
        <v>28</v>
      </c>
      <c r="E8" s="1" t="s">
        <v>29</v>
      </c>
      <c r="F8">
        <v>8000</v>
      </c>
      <c r="G8">
        <v>4</v>
      </c>
      <c r="H8" s="1" t="s">
        <v>13</v>
      </c>
      <c r="I8" s="1" t="s">
        <v>14</v>
      </c>
      <c r="J8">
        <v>3</v>
      </c>
      <c r="K8" t="s">
        <v>49</v>
      </c>
      <c r="L8" t="s">
        <v>50</v>
      </c>
      <c r="M8" t="s">
        <v>52</v>
      </c>
    </row>
    <row r="9" spans="1:13" x14ac:dyDescent="0.35">
      <c r="A9">
        <v>8</v>
      </c>
      <c r="B9">
        <v>40</v>
      </c>
      <c r="C9" s="1" t="s">
        <v>15</v>
      </c>
      <c r="D9" s="1" t="s">
        <v>30</v>
      </c>
      <c r="E9" s="1" t="s">
        <v>31</v>
      </c>
      <c r="F9">
        <v>3000</v>
      </c>
      <c r="G9">
        <v>6</v>
      </c>
      <c r="H9" s="1" t="s">
        <v>13</v>
      </c>
      <c r="I9" s="1" t="s">
        <v>14</v>
      </c>
      <c r="J9">
        <v>4</v>
      </c>
      <c r="K9" t="s">
        <v>49</v>
      </c>
      <c r="L9" t="s">
        <v>56</v>
      </c>
      <c r="M9" t="s">
        <v>51</v>
      </c>
    </row>
    <row r="10" spans="1:13" x14ac:dyDescent="0.35">
      <c r="A10">
        <v>9</v>
      </c>
      <c r="B10">
        <v>70</v>
      </c>
      <c r="C10" s="1" t="s">
        <v>10</v>
      </c>
      <c r="D10" s="1" t="s">
        <v>32</v>
      </c>
      <c r="E10" s="1" t="s">
        <v>33</v>
      </c>
      <c r="F10">
        <v>18000</v>
      </c>
      <c r="G10">
        <v>8</v>
      </c>
      <c r="H10" s="1" t="s">
        <v>18</v>
      </c>
      <c r="I10" s="1" t="s">
        <v>19</v>
      </c>
      <c r="J10">
        <v>2</v>
      </c>
      <c r="K10" t="s">
        <v>55</v>
      </c>
      <c r="L10" t="s">
        <v>56</v>
      </c>
      <c r="M10" t="s">
        <v>57</v>
      </c>
    </row>
    <row r="11" spans="1:13" x14ac:dyDescent="0.35">
      <c r="A11">
        <v>10</v>
      </c>
      <c r="B11">
        <v>25</v>
      </c>
      <c r="C11" s="1" t="s">
        <v>15</v>
      </c>
      <c r="D11" s="1" t="s">
        <v>34</v>
      </c>
      <c r="E11" s="1" t="s">
        <v>35</v>
      </c>
      <c r="F11">
        <v>100</v>
      </c>
      <c r="G11">
        <v>1</v>
      </c>
      <c r="H11" s="1" t="s">
        <v>13</v>
      </c>
      <c r="I11" s="1" t="s">
        <v>14</v>
      </c>
      <c r="J11">
        <v>5</v>
      </c>
      <c r="K11" t="s">
        <v>53</v>
      </c>
      <c r="L11" t="s">
        <v>54</v>
      </c>
      <c r="M11" t="s">
        <v>51</v>
      </c>
    </row>
    <row r="12" spans="1:13" x14ac:dyDescent="0.35">
      <c r="A12">
        <v>11</v>
      </c>
      <c r="B12">
        <v>48</v>
      </c>
      <c r="C12" s="1" t="s">
        <v>10</v>
      </c>
      <c r="D12" s="1" t="s">
        <v>36</v>
      </c>
      <c r="E12" s="1" t="s">
        <v>37</v>
      </c>
      <c r="F12">
        <v>800</v>
      </c>
      <c r="G12">
        <v>2</v>
      </c>
      <c r="H12" s="1" t="s">
        <v>13</v>
      </c>
      <c r="I12" s="1" t="s">
        <v>19</v>
      </c>
      <c r="J12">
        <v>4</v>
      </c>
      <c r="K12" t="s">
        <v>49</v>
      </c>
      <c r="L12" t="s">
        <v>54</v>
      </c>
      <c r="M12" t="s">
        <v>51</v>
      </c>
    </row>
    <row r="13" spans="1:13" x14ac:dyDescent="0.35">
      <c r="A13">
        <v>12</v>
      </c>
      <c r="B13">
        <v>65</v>
      </c>
      <c r="C13" s="1" t="s">
        <v>15</v>
      </c>
      <c r="D13" s="1" t="s">
        <v>38</v>
      </c>
      <c r="E13" s="1" t="s">
        <v>39</v>
      </c>
      <c r="F13">
        <v>20000</v>
      </c>
      <c r="G13">
        <v>9</v>
      </c>
      <c r="H13" s="1" t="s">
        <v>13</v>
      </c>
      <c r="I13" s="1" t="s">
        <v>14</v>
      </c>
      <c r="J13">
        <v>3</v>
      </c>
      <c r="K13" t="s">
        <v>55</v>
      </c>
      <c r="L13" t="s">
        <v>56</v>
      </c>
      <c r="M13" t="s">
        <v>52</v>
      </c>
    </row>
    <row r="14" spans="1:13" x14ac:dyDescent="0.35">
      <c r="A14">
        <v>13</v>
      </c>
      <c r="B14">
        <v>30</v>
      </c>
      <c r="C14" s="1" t="s">
        <v>10</v>
      </c>
      <c r="D14" s="1" t="s">
        <v>40</v>
      </c>
      <c r="E14" s="1" t="s">
        <v>41</v>
      </c>
      <c r="F14">
        <v>12000</v>
      </c>
      <c r="G14">
        <v>3</v>
      </c>
      <c r="H14" s="1" t="s">
        <v>13</v>
      </c>
      <c r="I14" s="1" t="s">
        <v>14</v>
      </c>
      <c r="J14">
        <v>4</v>
      </c>
      <c r="K14" t="s">
        <v>53</v>
      </c>
      <c r="L14" t="s">
        <v>50</v>
      </c>
      <c r="M14" t="s">
        <v>51</v>
      </c>
    </row>
    <row r="15" spans="1:13" x14ac:dyDescent="0.35">
      <c r="A15">
        <v>14</v>
      </c>
      <c r="B15">
        <v>52</v>
      </c>
      <c r="C15" s="1" t="s">
        <v>15</v>
      </c>
      <c r="D15" s="1" t="s">
        <v>42</v>
      </c>
      <c r="E15" s="1" t="s">
        <v>43</v>
      </c>
      <c r="F15">
        <v>6000</v>
      </c>
      <c r="G15">
        <v>4</v>
      </c>
      <c r="H15" s="1" t="s">
        <v>13</v>
      </c>
      <c r="I15" s="1" t="s">
        <v>14</v>
      </c>
      <c r="J15">
        <v>3</v>
      </c>
      <c r="K15" t="s">
        <v>49</v>
      </c>
      <c r="L15" t="s">
        <v>50</v>
      </c>
      <c r="M15" t="s">
        <v>52</v>
      </c>
    </row>
    <row r="16" spans="1:13" x14ac:dyDescent="0.35">
      <c r="A16">
        <v>15</v>
      </c>
      <c r="B16">
        <v>58</v>
      </c>
      <c r="C16" s="1" t="s">
        <v>10</v>
      </c>
      <c r="D16" s="1" t="s">
        <v>44</v>
      </c>
      <c r="E16" s="1" t="s">
        <v>45</v>
      </c>
      <c r="F16">
        <v>4000</v>
      </c>
      <c r="G16">
        <v>5</v>
      </c>
      <c r="H16" s="1" t="s">
        <v>13</v>
      </c>
      <c r="I16" s="1" t="s">
        <v>19</v>
      </c>
      <c r="J16">
        <v>4</v>
      </c>
      <c r="K16" t="s">
        <v>49</v>
      </c>
      <c r="L16" t="s">
        <v>50</v>
      </c>
      <c r="M16" t="s">
        <v>51</v>
      </c>
    </row>
    <row r="17" spans="1:13" x14ac:dyDescent="0.35">
      <c r="A17">
        <v>16</v>
      </c>
      <c r="B17">
        <v>55</v>
      </c>
      <c r="C17" s="1" t="s">
        <v>10</v>
      </c>
      <c r="D17" s="1" t="s">
        <v>11</v>
      </c>
      <c r="E17" s="1" t="s">
        <v>12</v>
      </c>
      <c r="F17">
        <v>15000</v>
      </c>
      <c r="G17">
        <v>6</v>
      </c>
      <c r="H17" s="1" t="s">
        <v>18</v>
      </c>
      <c r="I17" s="1" t="s">
        <v>14</v>
      </c>
      <c r="J17">
        <v>3</v>
      </c>
      <c r="K17" t="s">
        <v>49</v>
      </c>
      <c r="L17" t="s">
        <v>56</v>
      </c>
      <c r="M17" t="s">
        <v>52</v>
      </c>
    </row>
    <row r="18" spans="1:13" x14ac:dyDescent="0.35">
      <c r="A18">
        <v>17</v>
      </c>
      <c r="B18">
        <v>62</v>
      </c>
      <c r="C18" s="1" t="s">
        <v>15</v>
      </c>
      <c r="D18" s="1" t="s">
        <v>16</v>
      </c>
      <c r="E18" s="1" t="s">
        <v>17</v>
      </c>
      <c r="F18">
        <v>2000</v>
      </c>
      <c r="G18">
        <v>4</v>
      </c>
      <c r="H18" s="1" t="s">
        <v>13</v>
      </c>
      <c r="I18" s="1" t="s">
        <v>19</v>
      </c>
      <c r="J18">
        <v>4</v>
      </c>
      <c r="K18" t="s">
        <v>55</v>
      </c>
      <c r="L18" t="s">
        <v>50</v>
      </c>
      <c r="M18" t="s">
        <v>51</v>
      </c>
    </row>
    <row r="19" spans="1:13" x14ac:dyDescent="0.35">
      <c r="A19">
        <v>18</v>
      </c>
      <c r="B19">
        <v>35</v>
      </c>
      <c r="C19" s="1" t="s">
        <v>10</v>
      </c>
      <c r="D19" s="1" t="s">
        <v>20</v>
      </c>
      <c r="E19" s="1" t="s">
        <v>21</v>
      </c>
      <c r="F19">
        <v>500</v>
      </c>
      <c r="G19">
        <v>2</v>
      </c>
      <c r="H19" s="1" t="s">
        <v>18</v>
      </c>
      <c r="I19" s="1" t="s">
        <v>14</v>
      </c>
      <c r="J19">
        <v>5</v>
      </c>
      <c r="K19" t="s">
        <v>53</v>
      </c>
      <c r="L19" t="s">
        <v>54</v>
      </c>
      <c r="M19" t="s">
        <v>51</v>
      </c>
    </row>
    <row r="20" spans="1:13" x14ac:dyDescent="0.35">
      <c r="A20">
        <v>19</v>
      </c>
      <c r="B20">
        <v>78</v>
      </c>
      <c r="C20" s="1" t="s">
        <v>15</v>
      </c>
      <c r="D20" s="1" t="s">
        <v>22</v>
      </c>
      <c r="E20" s="1" t="s">
        <v>23</v>
      </c>
      <c r="F20">
        <v>10000</v>
      </c>
      <c r="G20">
        <v>8</v>
      </c>
      <c r="H20" s="1" t="s">
        <v>13</v>
      </c>
      <c r="I20" s="1" t="s">
        <v>19</v>
      </c>
      <c r="J20">
        <v>2</v>
      </c>
      <c r="K20" t="s">
        <v>55</v>
      </c>
      <c r="L20" t="s">
        <v>56</v>
      </c>
      <c r="M20" t="s">
        <v>57</v>
      </c>
    </row>
    <row r="21" spans="1:13" x14ac:dyDescent="0.35">
      <c r="A21">
        <v>20</v>
      </c>
      <c r="B21">
        <v>53</v>
      </c>
      <c r="C21" s="1" t="s">
        <v>10</v>
      </c>
      <c r="D21" s="1" t="s">
        <v>24</v>
      </c>
      <c r="E21" s="1" t="s">
        <v>25</v>
      </c>
      <c r="F21">
        <v>25000</v>
      </c>
      <c r="G21">
        <v>11</v>
      </c>
      <c r="H21" s="1" t="s">
        <v>18</v>
      </c>
      <c r="I21" s="1" t="s">
        <v>14</v>
      </c>
      <c r="J21">
        <v>4</v>
      </c>
      <c r="K21" t="s">
        <v>49</v>
      </c>
      <c r="L21" t="s">
        <v>58</v>
      </c>
      <c r="M21" t="s">
        <v>51</v>
      </c>
    </row>
    <row r="22" spans="1:13" x14ac:dyDescent="0.35">
      <c r="A22">
        <v>21</v>
      </c>
      <c r="B22">
        <v>72</v>
      </c>
      <c r="C22" s="1" t="s">
        <v>15</v>
      </c>
      <c r="D22" s="1" t="s">
        <v>26</v>
      </c>
      <c r="E22" s="1" t="s">
        <v>27</v>
      </c>
      <c r="F22">
        <v>1000</v>
      </c>
      <c r="G22">
        <v>3</v>
      </c>
      <c r="H22" s="1" t="s">
        <v>13</v>
      </c>
      <c r="I22" s="1" t="s">
        <v>19</v>
      </c>
      <c r="J22">
        <v>4</v>
      </c>
      <c r="K22" t="s">
        <v>55</v>
      </c>
      <c r="L22" t="s">
        <v>50</v>
      </c>
      <c r="M22" t="s">
        <v>51</v>
      </c>
    </row>
    <row r="23" spans="1:13" x14ac:dyDescent="0.35">
      <c r="A23">
        <v>22</v>
      </c>
      <c r="B23">
        <v>60</v>
      </c>
      <c r="C23" s="1" t="s">
        <v>10</v>
      </c>
      <c r="D23" s="1" t="s">
        <v>28</v>
      </c>
      <c r="E23" s="1" t="s">
        <v>29</v>
      </c>
      <c r="F23">
        <v>8000</v>
      </c>
      <c r="G23">
        <v>5</v>
      </c>
      <c r="H23" s="1" t="s">
        <v>18</v>
      </c>
      <c r="I23" s="1" t="s">
        <v>14</v>
      </c>
      <c r="J23">
        <v>3</v>
      </c>
      <c r="K23" t="s">
        <v>49</v>
      </c>
      <c r="L23" t="s">
        <v>50</v>
      </c>
      <c r="M23" t="s">
        <v>52</v>
      </c>
    </row>
    <row r="24" spans="1:13" x14ac:dyDescent="0.35">
      <c r="A24">
        <v>23</v>
      </c>
      <c r="B24">
        <v>45</v>
      </c>
      <c r="C24" s="1" t="s">
        <v>15</v>
      </c>
      <c r="D24" s="1" t="s">
        <v>30</v>
      </c>
      <c r="E24" s="1" t="s">
        <v>31</v>
      </c>
      <c r="F24">
        <v>3000</v>
      </c>
      <c r="G24">
        <v>7</v>
      </c>
      <c r="H24" s="1" t="s">
        <v>13</v>
      </c>
      <c r="I24" s="1" t="s">
        <v>14</v>
      </c>
      <c r="J24">
        <v>4</v>
      </c>
      <c r="K24" t="s">
        <v>49</v>
      </c>
      <c r="L24" t="s">
        <v>56</v>
      </c>
      <c r="M24" t="s">
        <v>51</v>
      </c>
    </row>
    <row r="25" spans="1:13" x14ac:dyDescent="0.35">
      <c r="A25">
        <v>24</v>
      </c>
      <c r="B25">
        <v>75</v>
      </c>
      <c r="C25" s="1" t="s">
        <v>10</v>
      </c>
      <c r="D25" s="1" t="s">
        <v>32</v>
      </c>
      <c r="E25" s="1" t="s">
        <v>33</v>
      </c>
      <c r="F25">
        <v>18000</v>
      </c>
      <c r="G25">
        <v>9</v>
      </c>
      <c r="H25" s="1" t="s">
        <v>18</v>
      </c>
      <c r="I25" s="1" t="s">
        <v>19</v>
      </c>
      <c r="J25">
        <v>2</v>
      </c>
      <c r="K25" t="s">
        <v>55</v>
      </c>
      <c r="L25" t="s">
        <v>56</v>
      </c>
      <c r="M25" t="s">
        <v>57</v>
      </c>
    </row>
    <row r="26" spans="1:13" x14ac:dyDescent="0.35">
      <c r="A26">
        <v>25</v>
      </c>
      <c r="B26">
        <v>28</v>
      </c>
      <c r="C26" s="1" t="s">
        <v>15</v>
      </c>
      <c r="D26" s="1" t="s">
        <v>34</v>
      </c>
      <c r="E26" s="1" t="s">
        <v>35</v>
      </c>
      <c r="F26">
        <v>100</v>
      </c>
      <c r="G26">
        <v>2</v>
      </c>
      <c r="H26" s="1" t="s">
        <v>13</v>
      </c>
      <c r="I26" s="1" t="s">
        <v>14</v>
      </c>
      <c r="J26">
        <v>5</v>
      </c>
      <c r="K26" t="s">
        <v>53</v>
      </c>
      <c r="L26" t="s">
        <v>54</v>
      </c>
      <c r="M26" t="s">
        <v>51</v>
      </c>
    </row>
    <row r="27" spans="1:13" x14ac:dyDescent="0.35">
      <c r="A27">
        <v>26</v>
      </c>
      <c r="B27">
        <v>52</v>
      </c>
      <c r="C27" s="1" t="s">
        <v>10</v>
      </c>
      <c r="D27" s="1" t="s">
        <v>36</v>
      </c>
      <c r="E27" s="1" t="s">
        <v>37</v>
      </c>
      <c r="F27">
        <v>800</v>
      </c>
      <c r="G27">
        <v>3</v>
      </c>
      <c r="H27" s="1" t="s">
        <v>13</v>
      </c>
      <c r="I27" s="1" t="s">
        <v>19</v>
      </c>
      <c r="J27">
        <v>4</v>
      </c>
      <c r="K27" t="s">
        <v>49</v>
      </c>
      <c r="L27" t="s">
        <v>50</v>
      </c>
      <c r="M27" t="s">
        <v>51</v>
      </c>
    </row>
    <row r="28" spans="1:13" x14ac:dyDescent="0.35">
      <c r="A28">
        <v>27</v>
      </c>
      <c r="B28">
        <v>67</v>
      </c>
      <c r="C28" s="1" t="s">
        <v>15</v>
      </c>
      <c r="D28" s="1" t="s">
        <v>38</v>
      </c>
      <c r="E28" s="1" t="s">
        <v>39</v>
      </c>
      <c r="F28">
        <v>20000</v>
      </c>
      <c r="G28">
        <v>10</v>
      </c>
      <c r="H28" s="1" t="s">
        <v>13</v>
      </c>
      <c r="I28" s="1" t="s">
        <v>14</v>
      </c>
      <c r="J28">
        <v>3</v>
      </c>
      <c r="K28" t="s">
        <v>55</v>
      </c>
      <c r="L28" t="s">
        <v>56</v>
      </c>
      <c r="M28" t="s">
        <v>52</v>
      </c>
    </row>
    <row r="29" spans="1:13" x14ac:dyDescent="0.35">
      <c r="A29">
        <v>28</v>
      </c>
      <c r="B29">
        <v>35</v>
      </c>
      <c r="C29" s="1" t="s">
        <v>10</v>
      </c>
      <c r="D29" s="1" t="s">
        <v>40</v>
      </c>
      <c r="E29" s="1" t="s">
        <v>41</v>
      </c>
      <c r="F29">
        <v>12000</v>
      </c>
      <c r="G29">
        <v>4</v>
      </c>
      <c r="H29" s="1" t="s">
        <v>13</v>
      </c>
      <c r="I29" s="1" t="s">
        <v>14</v>
      </c>
      <c r="J29">
        <v>4</v>
      </c>
      <c r="K29" t="s">
        <v>53</v>
      </c>
      <c r="L29" t="s">
        <v>50</v>
      </c>
      <c r="M29" t="s">
        <v>51</v>
      </c>
    </row>
    <row r="30" spans="1:13" x14ac:dyDescent="0.35">
      <c r="A30">
        <v>29</v>
      </c>
      <c r="B30">
        <v>50</v>
      </c>
      <c r="C30" s="1" t="s">
        <v>15</v>
      </c>
      <c r="D30" s="1" t="s">
        <v>42</v>
      </c>
      <c r="E30" s="1" t="s">
        <v>43</v>
      </c>
      <c r="F30">
        <v>6000</v>
      </c>
      <c r="G30">
        <v>5</v>
      </c>
      <c r="H30" s="1" t="s">
        <v>13</v>
      </c>
      <c r="I30" s="1" t="s">
        <v>14</v>
      </c>
      <c r="J30">
        <v>3</v>
      </c>
      <c r="K30" t="s">
        <v>49</v>
      </c>
      <c r="L30" t="s">
        <v>50</v>
      </c>
      <c r="M30" t="s">
        <v>52</v>
      </c>
    </row>
    <row r="31" spans="1:13" x14ac:dyDescent="0.35">
      <c r="A31">
        <v>30</v>
      </c>
      <c r="B31">
        <v>60</v>
      </c>
      <c r="C31" s="1" t="s">
        <v>10</v>
      </c>
      <c r="D31" s="1" t="s">
        <v>44</v>
      </c>
      <c r="E31" s="1" t="s">
        <v>45</v>
      </c>
      <c r="F31">
        <v>4000</v>
      </c>
      <c r="G31">
        <v>6</v>
      </c>
      <c r="H31" s="1" t="s">
        <v>13</v>
      </c>
      <c r="I31" s="1" t="s">
        <v>19</v>
      </c>
      <c r="J31">
        <v>4</v>
      </c>
      <c r="K31" t="s">
        <v>49</v>
      </c>
      <c r="L31" t="s">
        <v>56</v>
      </c>
      <c r="M31" t="s">
        <v>51</v>
      </c>
    </row>
    <row r="32" spans="1:13" x14ac:dyDescent="0.35">
      <c r="A32">
        <v>31</v>
      </c>
      <c r="B32">
        <v>48</v>
      </c>
      <c r="C32" s="1" t="s">
        <v>10</v>
      </c>
      <c r="D32" s="1" t="s">
        <v>11</v>
      </c>
      <c r="E32" s="1" t="s">
        <v>12</v>
      </c>
      <c r="F32">
        <v>15000</v>
      </c>
      <c r="G32">
        <v>7</v>
      </c>
      <c r="H32" s="1" t="s">
        <v>18</v>
      </c>
      <c r="I32" s="1" t="s">
        <v>14</v>
      </c>
      <c r="J32">
        <v>4</v>
      </c>
      <c r="K32" t="s">
        <v>49</v>
      </c>
      <c r="L32" t="s">
        <v>56</v>
      </c>
      <c r="M32" t="s">
        <v>51</v>
      </c>
    </row>
    <row r="33" spans="1:13" x14ac:dyDescent="0.35">
      <c r="A33">
        <v>32</v>
      </c>
      <c r="B33">
        <v>65</v>
      </c>
      <c r="C33" s="1" t="s">
        <v>15</v>
      </c>
      <c r="D33" s="1" t="s">
        <v>16</v>
      </c>
      <c r="E33" s="1" t="s">
        <v>17</v>
      </c>
      <c r="F33">
        <v>2000</v>
      </c>
      <c r="G33">
        <v>5</v>
      </c>
      <c r="H33" s="1" t="s">
        <v>13</v>
      </c>
      <c r="I33" s="1" t="s">
        <v>19</v>
      </c>
      <c r="J33">
        <v>3</v>
      </c>
      <c r="K33" t="s">
        <v>55</v>
      </c>
      <c r="L33" t="s">
        <v>50</v>
      </c>
      <c r="M33" t="s">
        <v>52</v>
      </c>
    </row>
    <row r="34" spans="1:13" x14ac:dyDescent="0.35">
      <c r="A34">
        <v>33</v>
      </c>
      <c r="B34">
        <v>30</v>
      </c>
      <c r="C34" s="1" t="s">
        <v>10</v>
      </c>
      <c r="D34" s="1" t="s">
        <v>20</v>
      </c>
      <c r="E34" s="1" t="s">
        <v>21</v>
      </c>
      <c r="F34">
        <v>500</v>
      </c>
      <c r="G34">
        <v>3</v>
      </c>
      <c r="H34" s="1" t="s">
        <v>13</v>
      </c>
      <c r="I34" s="1" t="s">
        <v>14</v>
      </c>
      <c r="J34">
        <v>5</v>
      </c>
      <c r="K34" t="s">
        <v>53</v>
      </c>
      <c r="L34" t="s">
        <v>50</v>
      </c>
      <c r="M34" t="s">
        <v>51</v>
      </c>
    </row>
    <row r="35" spans="1:13" x14ac:dyDescent="0.35">
      <c r="A35">
        <v>34</v>
      </c>
      <c r="B35">
        <v>70</v>
      </c>
      <c r="C35" s="1" t="s">
        <v>15</v>
      </c>
      <c r="D35" s="1" t="s">
        <v>22</v>
      </c>
      <c r="E35" s="1" t="s">
        <v>23</v>
      </c>
      <c r="F35">
        <v>10000</v>
      </c>
      <c r="G35">
        <v>9</v>
      </c>
      <c r="H35" s="1" t="s">
        <v>18</v>
      </c>
      <c r="I35" s="1" t="s">
        <v>19</v>
      </c>
      <c r="J35">
        <v>2</v>
      </c>
      <c r="K35" t="s">
        <v>55</v>
      </c>
      <c r="L35" t="s">
        <v>56</v>
      </c>
      <c r="M35" t="s">
        <v>57</v>
      </c>
    </row>
    <row r="36" spans="1:13" x14ac:dyDescent="0.35">
      <c r="A36">
        <v>35</v>
      </c>
      <c r="B36">
        <v>55</v>
      </c>
      <c r="C36" s="1" t="s">
        <v>10</v>
      </c>
      <c r="D36" s="1" t="s">
        <v>24</v>
      </c>
      <c r="E36" s="1" t="s">
        <v>25</v>
      </c>
      <c r="F36">
        <v>25000</v>
      </c>
      <c r="G36">
        <v>12</v>
      </c>
      <c r="H36" s="1" t="s">
        <v>13</v>
      </c>
      <c r="I36" s="1" t="s">
        <v>14</v>
      </c>
      <c r="J36">
        <v>4</v>
      </c>
      <c r="K36" t="s">
        <v>49</v>
      </c>
      <c r="L36" t="s">
        <v>58</v>
      </c>
      <c r="M36" t="s">
        <v>51</v>
      </c>
    </row>
    <row r="37" spans="1:13" x14ac:dyDescent="0.35">
      <c r="A37">
        <v>36</v>
      </c>
      <c r="B37">
        <v>68</v>
      </c>
      <c r="C37" s="1" t="s">
        <v>15</v>
      </c>
      <c r="D37" s="1" t="s">
        <v>26</v>
      </c>
      <c r="E37" s="1" t="s">
        <v>27</v>
      </c>
      <c r="F37">
        <v>1000</v>
      </c>
      <c r="G37">
        <v>4</v>
      </c>
      <c r="H37" s="1" t="s">
        <v>13</v>
      </c>
      <c r="I37" s="1" t="s">
        <v>19</v>
      </c>
      <c r="J37">
        <v>4</v>
      </c>
      <c r="K37" t="s">
        <v>55</v>
      </c>
      <c r="L37" t="s">
        <v>50</v>
      </c>
      <c r="M37" t="s">
        <v>51</v>
      </c>
    </row>
    <row r="38" spans="1:13" x14ac:dyDescent="0.35">
      <c r="A38">
        <v>37</v>
      </c>
      <c r="B38">
        <v>45</v>
      </c>
      <c r="C38" s="1" t="s">
        <v>10</v>
      </c>
      <c r="D38" s="1" t="s">
        <v>28</v>
      </c>
      <c r="E38" s="1" t="s">
        <v>29</v>
      </c>
      <c r="F38">
        <v>8000</v>
      </c>
      <c r="G38">
        <v>6</v>
      </c>
      <c r="H38" s="1" t="s">
        <v>13</v>
      </c>
      <c r="I38" s="1" t="s">
        <v>14</v>
      </c>
      <c r="J38">
        <v>3</v>
      </c>
      <c r="K38" t="s">
        <v>49</v>
      </c>
      <c r="L38" t="s">
        <v>56</v>
      </c>
      <c r="M38" t="s">
        <v>52</v>
      </c>
    </row>
    <row r="39" spans="1:13" x14ac:dyDescent="0.35">
      <c r="A39">
        <v>38</v>
      </c>
      <c r="B39">
        <v>40</v>
      </c>
      <c r="C39" s="1" t="s">
        <v>15</v>
      </c>
      <c r="D39" s="1" t="s">
        <v>30</v>
      </c>
      <c r="E39" s="1" t="s">
        <v>31</v>
      </c>
      <c r="F39">
        <v>3000</v>
      </c>
      <c r="G39">
        <v>8</v>
      </c>
      <c r="H39" s="1" t="s">
        <v>13</v>
      </c>
      <c r="I39" s="1" t="s">
        <v>14</v>
      </c>
      <c r="J39">
        <v>4</v>
      </c>
      <c r="K39" t="s">
        <v>49</v>
      </c>
      <c r="L39" t="s">
        <v>56</v>
      </c>
      <c r="M39" t="s">
        <v>51</v>
      </c>
    </row>
    <row r="40" spans="1:13" x14ac:dyDescent="0.35">
      <c r="A40">
        <v>39</v>
      </c>
      <c r="B40">
        <v>78</v>
      </c>
      <c r="C40" s="1" t="s">
        <v>10</v>
      </c>
      <c r="D40" s="1" t="s">
        <v>32</v>
      </c>
      <c r="E40" s="1" t="s">
        <v>33</v>
      </c>
      <c r="F40">
        <v>18000</v>
      </c>
      <c r="G40">
        <v>10</v>
      </c>
      <c r="H40" s="1" t="s">
        <v>18</v>
      </c>
      <c r="I40" s="1" t="s">
        <v>19</v>
      </c>
      <c r="J40">
        <v>2</v>
      </c>
      <c r="K40" t="s">
        <v>55</v>
      </c>
      <c r="L40" t="s">
        <v>56</v>
      </c>
      <c r="M40" t="s">
        <v>57</v>
      </c>
    </row>
    <row r="41" spans="1:13" x14ac:dyDescent="0.35">
      <c r="A41">
        <v>40</v>
      </c>
      <c r="B41">
        <v>25</v>
      </c>
      <c r="C41" s="1" t="s">
        <v>15</v>
      </c>
      <c r="D41" s="1" t="s">
        <v>34</v>
      </c>
      <c r="E41" s="1" t="s">
        <v>35</v>
      </c>
      <c r="F41">
        <v>100</v>
      </c>
      <c r="G41">
        <v>3</v>
      </c>
      <c r="H41" s="1" t="s">
        <v>13</v>
      </c>
      <c r="I41" s="1" t="s">
        <v>14</v>
      </c>
      <c r="J41">
        <v>5</v>
      </c>
      <c r="K41" t="s">
        <v>53</v>
      </c>
      <c r="L41" t="s">
        <v>50</v>
      </c>
      <c r="M41" t="s">
        <v>51</v>
      </c>
    </row>
    <row r="42" spans="1:13" x14ac:dyDescent="0.35">
      <c r="A42">
        <v>41</v>
      </c>
      <c r="B42">
        <v>52</v>
      </c>
      <c r="C42" s="1" t="s">
        <v>10</v>
      </c>
      <c r="D42" s="1" t="s">
        <v>36</v>
      </c>
      <c r="E42" s="1" t="s">
        <v>37</v>
      </c>
      <c r="F42">
        <v>800</v>
      </c>
      <c r="G42">
        <v>4</v>
      </c>
      <c r="H42" s="1" t="s">
        <v>13</v>
      </c>
      <c r="I42" s="1" t="s">
        <v>19</v>
      </c>
      <c r="J42">
        <v>4</v>
      </c>
      <c r="K42" t="s">
        <v>49</v>
      </c>
      <c r="L42" t="s">
        <v>50</v>
      </c>
      <c r="M42" t="s">
        <v>51</v>
      </c>
    </row>
    <row r="43" spans="1:13" x14ac:dyDescent="0.35">
      <c r="A43">
        <v>42</v>
      </c>
      <c r="B43">
        <v>58</v>
      </c>
      <c r="C43" s="1" t="s">
        <v>15</v>
      </c>
      <c r="D43" s="1" t="s">
        <v>38</v>
      </c>
      <c r="E43" s="1" t="s">
        <v>39</v>
      </c>
      <c r="F43">
        <v>20000</v>
      </c>
      <c r="G43">
        <v>11</v>
      </c>
      <c r="H43" s="1" t="s">
        <v>13</v>
      </c>
      <c r="I43" s="1" t="s">
        <v>14</v>
      </c>
      <c r="J43">
        <v>3</v>
      </c>
      <c r="K43" t="s">
        <v>49</v>
      </c>
      <c r="L43" t="s">
        <v>58</v>
      </c>
      <c r="M43" t="s">
        <v>52</v>
      </c>
    </row>
    <row r="44" spans="1:13" x14ac:dyDescent="0.35">
      <c r="A44">
        <v>43</v>
      </c>
      <c r="B44">
        <v>32</v>
      </c>
      <c r="C44" s="1" t="s">
        <v>10</v>
      </c>
      <c r="D44" s="1" t="s">
        <v>40</v>
      </c>
      <c r="E44" s="1" t="s">
        <v>41</v>
      </c>
      <c r="F44">
        <v>12000</v>
      </c>
      <c r="G44">
        <v>5</v>
      </c>
      <c r="H44" s="1" t="s">
        <v>13</v>
      </c>
      <c r="I44" s="1" t="s">
        <v>14</v>
      </c>
      <c r="J44">
        <v>4</v>
      </c>
      <c r="K44" t="s">
        <v>53</v>
      </c>
      <c r="L44" t="s">
        <v>50</v>
      </c>
      <c r="M44" t="s">
        <v>51</v>
      </c>
    </row>
    <row r="45" spans="1:13" x14ac:dyDescent="0.35">
      <c r="A45">
        <v>44</v>
      </c>
      <c r="B45">
        <v>55</v>
      </c>
      <c r="C45" s="1" t="s">
        <v>15</v>
      </c>
      <c r="D45" s="1" t="s">
        <v>42</v>
      </c>
      <c r="E45" s="1" t="s">
        <v>43</v>
      </c>
      <c r="F45">
        <v>6000</v>
      </c>
      <c r="G45">
        <v>6</v>
      </c>
      <c r="H45" s="1" t="s">
        <v>13</v>
      </c>
      <c r="I45" s="1" t="s">
        <v>14</v>
      </c>
      <c r="J45">
        <v>3</v>
      </c>
      <c r="K45" t="s">
        <v>49</v>
      </c>
      <c r="L45" t="s">
        <v>56</v>
      </c>
      <c r="M45" t="s">
        <v>52</v>
      </c>
    </row>
    <row r="46" spans="1:13" x14ac:dyDescent="0.35">
      <c r="A46">
        <v>45</v>
      </c>
      <c r="B46">
        <v>65</v>
      </c>
      <c r="C46" s="1" t="s">
        <v>10</v>
      </c>
      <c r="D46" s="1" t="s">
        <v>44</v>
      </c>
      <c r="E46" s="1" t="s">
        <v>45</v>
      </c>
      <c r="F46">
        <v>4000</v>
      </c>
      <c r="G46">
        <v>7</v>
      </c>
      <c r="H46" s="1" t="s">
        <v>13</v>
      </c>
      <c r="I46" s="1" t="s">
        <v>19</v>
      </c>
      <c r="J46">
        <v>4</v>
      </c>
      <c r="K46" t="s">
        <v>55</v>
      </c>
      <c r="L46" t="s">
        <v>56</v>
      </c>
      <c r="M46" t="s">
        <v>51</v>
      </c>
    </row>
    <row r="47" spans="1:13" x14ac:dyDescent="0.35">
      <c r="A47">
        <v>46</v>
      </c>
      <c r="B47">
        <v>55</v>
      </c>
      <c r="C47" s="1" t="s">
        <v>10</v>
      </c>
      <c r="D47" s="1" t="s">
        <v>11</v>
      </c>
      <c r="E47" s="1" t="s">
        <v>12</v>
      </c>
      <c r="F47">
        <v>15000</v>
      </c>
      <c r="G47">
        <v>8</v>
      </c>
      <c r="H47" s="1" t="s">
        <v>18</v>
      </c>
      <c r="I47" s="1" t="s">
        <v>14</v>
      </c>
      <c r="J47">
        <v>3</v>
      </c>
      <c r="K47" t="s">
        <v>49</v>
      </c>
      <c r="L47" t="s">
        <v>56</v>
      </c>
      <c r="M47" t="s">
        <v>52</v>
      </c>
    </row>
    <row r="48" spans="1:13" x14ac:dyDescent="0.35">
      <c r="A48">
        <v>47</v>
      </c>
      <c r="B48">
        <v>62</v>
      </c>
      <c r="C48" s="1" t="s">
        <v>15</v>
      </c>
      <c r="D48" s="1" t="s">
        <v>16</v>
      </c>
      <c r="E48" s="1" t="s">
        <v>17</v>
      </c>
      <c r="F48">
        <v>2000</v>
      </c>
      <c r="G48">
        <v>6</v>
      </c>
      <c r="H48" s="1" t="s">
        <v>13</v>
      </c>
      <c r="I48" s="1" t="s">
        <v>19</v>
      </c>
      <c r="J48">
        <v>4</v>
      </c>
      <c r="K48" t="s">
        <v>55</v>
      </c>
      <c r="L48" t="s">
        <v>56</v>
      </c>
      <c r="M48" t="s">
        <v>51</v>
      </c>
    </row>
    <row r="49" spans="1:13" x14ac:dyDescent="0.35">
      <c r="A49">
        <v>48</v>
      </c>
      <c r="B49">
        <v>35</v>
      </c>
      <c r="C49" s="1" t="s">
        <v>10</v>
      </c>
      <c r="D49" s="1" t="s">
        <v>20</v>
      </c>
      <c r="E49" s="1" t="s">
        <v>21</v>
      </c>
      <c r="F49">
        <v>500</v>
      </c>
      <c r="G49">
        <v>4</v>
      </c>
      <c r="H49" s="1" t="s">
        <v>18</v>
      </c>
      <c r="I49" s="1" t="s">
        <v>14</v>
      </c>
      <c r="J49">
        <v>5</v>
      </c>
      <c r="K49" t="s">
        <v>53</v>
      </c>
      <c r="L49" t="s">
        <v>50</v>
      </c>
      <c r="M49" t="s">
        <v>51</v>
      </c>
    </row>
    <row r="50" spans="1:13" x14ac:dyDescent="0.35">
      <c r="A50">
        <v>49</v>
      </c>
      <c r="B50">
        <v>78</v>
      </c>
      <c r="C50" s="1" t="s">
        <v>15</v>
      </c>
      <c r="D50" s="1" t="s">
        <v>22</v>
      </c>
      <c r="E50" s="1" t="s">
        <v>23</v>
      </c>
      <c r="F50">
        <v>10000</v>
      </c>
      <c r="G50">
        <v>10</v>
      </c>
      <c r="H50" s="1" t="s">
        <v>13</v>
      </c>
      <c r="I50" s="1" t="s">
        <v>19</v>
      </c>
      <c r="J50">
        <v>2</v>
      </c>
      <c r="K50" t="s">
        <v>55</v>
      </c>
      <c r="L50" t="s">
        <v>56</v>
      </c>
      <c r="M50" t="s">
        <v>57</v>
      </c>
    </row>
    <row r="51" spans="1:13" x14ac:dyDescent="0.35">
      <c r="A51">
        <v>50</v>
      </c>
      <c r="B51">
        <v>53</v>
      </c>
      <c r="C51" s="1" t="s">
        <v>10</v>
      </c>
      <c r="D51" s="1" t="s">
        <v>24</v>
      </c>
      <c r="E51" s="1" t="s">
        <v>25</v>
      </c>
      <c r="F51">
        <v>25000</v>
      </c>
      <c r="G51">
        <v>13</v>
      </c>
      <c r="H51" s="1" t="s">
        <v>18</v>
      </c>
      <c r="I51" s="1" t="s">
        <v>14</v>
      </c>
      <c r="J51">
        <v>4</v>
      </c>
      <c r="K51" t="s">
        <v>49</v>
      </c>
      <c r="L51" t="s">
        <v>58</v>
      </c>
      <c r="M51" t="s">
        <v>51</v>
      </c>
    </row>
    <row r="52" spans="1:13" x14ac:dyDescent="0.35">
      <c r="A52">
        <v>51</v>
      </c>
      <c r="B52">
        <v>72</v>
      </c>
      <c r="C52" s="1" t="s">
        <v>15</v>
      </c>
      <c r="D52" s="1" t="s">
        <v>26</v>
      </c>
      <c r="E52" s="1" t="s">
        <v>27</v>
      </c>
      <c r="F52">
        <v>1000</v>
      </c>
      <c r="G52">
        <v>5</v>
      </c>
      <c r="H52" s="1" t="s">
        <v>13</v>
      </c>
      <c r="I52" s="1" t="s">
        <v>19</v>
      </c>
      <c r="J52">
        <v>4</v>
      </c>
      <c r="K52" t="s">
        <v>55</v>
      </c>
      <c r="L52" t="s">
        <v>50</v>
      </c>
      <c r="M52" t="s">
        <v>51</v>
      </c>
    </row>
    <row r="53" spans="1:13" x14ac:dyDescent="0.35">
      <c r="A53">
        <v>52</v>
      </c>
      <c r="B53">
        <v>60</v>
      </c>
      <c r="C53" s="1" t="s">
        <v>10</v>
      </c>
      <c r="D53" s="1" t="s">
        <v>28</v>
      </c>
      <c r="E53" s="1" t="s">
        <v>29</v>
      </c>
      <c r="F53">
        <v>8000</v>
      </c>
      <c r="G53">
        <v>7</v>
      </c>
      <c r="H53" s="1" t="s">
        <v>18</v>
      </c>
      <c r="I53" s="1" t="s">
        <v>14</v>
      </c>
      <c r="J53">
        <v>3</v>
      </c>
      <c r="K53" t="s">
        <v>49</v>
      </c>
      <c r="L53" t="s">
        <v>56</v>
      </c>
      <c r="M53" t="s">
        <v>52</v>
      </c>
    </row>
    <row r="54" spans="1:13" x14ac:dyDescent="0.35">
      <c r="A54">
        <v>53</v>
      </c>
      <c r="B54">
        <v>45</v>
      </c>
      <c r="C54" s="1" t="s">
        <v>15</v>
      </c>
      <c r="D54" s="1" t="s">
        <v>30</v>
      </c>
      <c r="E54" s="1" t="s">
        <v>31</v>
      </c>
      <c r="F54">
        <v>3000</v>
      </c>
      <c r="G54">
        <v>9</v>
      </c>
      <c r="H54" s="1" t="s">
        <v>13</v>
      </c>
      <c r="I54" s="1" t="s">
        <v>14</v>
      </c>
      <c r="J54">
        <v>4</v>
      </c>
      <c r="K54" t="s">
        <v>49</v>
      </c>
      <c r="L54" t="s">
        <v>56</v>
      </c>
      <c r="M54" t="s">
        <v>51</v>
      </c>
    </row>
    <row r="55" spans="1:13" x14ac:dyDescent="0.35">
      <c r="A55">
        <v>54</v>
      </c>
      <c r="B55">
        <v>75</v>
      </c>
      <c r="C55" s="1" t="s">
        <v>10</v>
      </c>
      <c r="D55" s="1" t="s">
        <v>32</v>
      </c>
      <c r="E55" s="1" t="s">
        <v>33</v>
      </c>
      <c r="F55">
        <v>18000</v>
      </c>
      <c r="G55">
        <v>11</v>
      </c>
      <c r="H55" s="1" t="s">
        <v>18</v>
      </c>
      <c r="I55" s="1" t="s">
        <v>19</v>
      </c>
      <c r="J55">
        <v>2</v>
      </c>
      <c r="K55" t="s">
        <v>55</v>
      </c>
      <c r="L55" t="s">
        <v>58</v>
      </c>
      <c r="M55" t="s">
        <v>57</v>
      </c>
    </row>
    <row r="56" spans="1:13" x14ac:dyDescent="0.35">
      <c r="A56">
        <v>55</v>
      </c>
      <c r="B56">
        <v>28</v>
      </c>
      <c r="C56" s="1" t="s">
        <v>15</v>
      </c>
      <c r="D56" s="1" t="s">
        <v>34</v>
      </c>
      <c r="E56" s="1" t="s">
        <v>35</v>
      </c>
      <c r="F56">
        <v>100</v>
      </c>
      <c r="G56">
        <v>4</v>
      </c>
      <c r="H56" s="1" t="s">
        <v>13</v>
      </c>
      <c r="I56" s="1" t="s">
        <v>14</v>
      </c>
      <c r="J56">
        <v>5</v>
      </c>
      <c r="K56" t="s">
        <v>53</v>
      </c>
      <c r="L56" t="s">
        <v>50</v>
      </c>
      <c r="M56" t="s">
        <v>51</v>
      </c>
    </row>
    <row r="57" spans="1:13" x14ac:dyDescent="0.35">
      <c r="A57">
        <v>56</v>
      </c>
      <c r="B57">
        <v>52</v>
      </c>
      <c r="C57" s="1" t="s">
        <v>10</v>
      </c>
      <c r="D57" s="1" t="s">
        <v>36</v>
      </c>
      <c r="E57" s="1" t="s">
        <v>37</v>
      </c>
      <c r="F57">
        <v>800</v>
      </c>
      <c r="G57">
        <v>5</v>
      </c>
      <c r="H57" s="1" t="s">
        <v>13</v>
      </c>
      <c r="I57" s="1" t="s">
        <v>19</v>
      </c>
      <c r="J57">
        <v>4</v>
      </c>
      <c r="K57" t="s">
        <v>49</v>
      </c>
      <c r="L57" t="s">
        <v>50</v>
      </c>
      <c r="M57" t="s">
        <v>51</v>
      </c>
    </row>
    <row r="58" spans="1:13" x14ac:dyDescent="0.35">
      <c r="A58">
        <v>57</v>
      </c>
      <c r="B58">
        <v>67</v>
      </c>
      <c r="C58" s="1" t="s">
        <v>15</v>
      </c>
      <c r="D58" s="1" t="s">
        <v>38</v>
      </c>
      <c r="E58" s="1" t="s">
        <v>39</v>
      </c>
      <c r="F58">
        <v>20000</v>
      </c>
      <c r="G58">
        <v>12</v>
      </c>
      <c r="H58" s="1" t="s">
        <v>13</v>
      </c>
      <c r="I58" s="1" t="s">
        <v>14</v>
      </c>
      <c r="J58">
        <v>3</v>
      </c>
      <c r="K58" t="s">
        <v>55</v>
      </c>
      <c r="L58" t="s">
        <v>58</v>
      </c>
      <c r="M58" t="s">
        <v>52</v>
      </c>
    </row>
    <row r="59" spans="1:13" x14ac:dyDescent="0.35">
      <c r="A59">
        <v>58</v>
      </c>
      <c r="B59">
        <v>35</v>
      </c>
      <c r="C59" s="1" t="s">
        <v>10</v>
      </c>
      <c r="D59" s="1" t="s">
        <v>40</v>
      </c>
      <c r="E59" s="1" t="s">
        <v>41</v>
      </c>
      <c r="F59">
        <v>12000</v>
      </c>
      <c r="G59">
        <v>6</v>
      </c>
      <c r="H59" s="1" t="s">
        <v>13</v>
      </c>
      <c r="I59" s="1" t="s">
        <v>14</v>
      </c>
      <c r="J59">
        <v>4</v>
      </c>
      <c r="K59" t="s">
        <v>53</v>
      </c>
      <c r="L59" t="s">
        <v>56</v>
      </c>
      <c r="M59" t="s">
        <v>51</v>
      </c>
    </row>
    <row r="60" spans="1:13" x14ac:dyDescent="0.35">
      <c r="A60">
        <v>59</v>
      </c>
      <c r="B60">
        <v>50</v>
      </c>
      <c r="C60" s="1" t="s">
        <v>15</v>
      </c>
      <c r="D60" s="1" t="s">
        <v>42</v>
      </c>
      <c r="E60" s="1" t="s">
        <v>43</v>
      </c>
      <c r="F60">
        <v>6000</v>
      </c>
      <c r="G60">
        <v>7</v>
      </c>
      <c r="H60" s="1" t="s">
        <v>13</v>
      </c>
      <c r="I60" s="1" t="s">
        <v>14</v>
      </c>
      <c r="J60">
        <v>3</v>
      </c>
      <c r="K60" t="s">
        <v>49</v>
      </c>
      <c r="L60" t="s">
        <v>56</v>
      </c>
      <c r="M60" t="s">
        <v>52</v>
      </c>
    </row>
    <row r="61" spans="1:13" x14ac:dyDescent="0.35">
      <c r="A61">
        <v>61</v>
      </c>
      <c r="B61">
        <v>48</v>
      </c>
      <c r="C61" s="1" t="s">
        <v>10</v>
      </c>
      <c r="D61" s="1" t="s">
        <v>11</v>
      </c>
      <c r="E61" s="1" t="s">
        <v>12</v>
      </c>
      <c r="F61">
        <v>15000</v>
      </c>
      <c r="G61">
        <v>9</v>
      </c>
      <c r="H61" s="1" t="s">
        <v>18</v>
      </c>
      <c r="I61" s="1" t="s">
        <v>14</v>
      </c>
      <c r="J61">
        <v>4</v>
      </c>
      <c r="K61" t="s">
        <v>49</v>
      </c>
      <c r="L61" t="s">
        <v>56</v>
      </c>
      <c r="M61" t="s">
        <v>51</v>
      </c>
    </row>
    <row r="62" spans="1:13" x14ac:dyDescent="0.35">
      <c r="A62">
        <v>62</v>
      </c>
      <c r="B62">
        <v>65</v>
      </c>
      <c r="C62" s="1" t="s">
        <v>15</v>
      </c>
      <c r="D62" s="1" t="s">
        <v>16</v>
      </c>
      <c r="E62" s="1" t="s">
        <v>17</v>
      </c>
      <c r="F62">
        <v>2000</v>
      </c>
      <c r="G62">
        <v>7</v>
      </c>
      <c r="H62" s="1" t="s">
        <v>13</v>
      </c>
      <c r="I62" s="1" t="s">
        <v>19</v>
      </c>
      <c r="J62">
        <v>3</v>
      </c>
      <c r="K62" t="s">
        <v>55</v>
      </c>
      <c r="L62" t="s">
        <v>56</v>
      </c>
      <c r="M62" t="s">
        <v>52</v>
      </c>
    </row>
    <row r="63" spans="1:13" x14ac:dyDescent="0.35">
      <c r="A63">
        <v>63</v>
      </c>
      <c r="B63">
        <v>30</v>
      </c>
      <c r="C63" s="1" t="s">
        <v>10</v>
      </c>
      <c r="D63" s="1" t="s">
        <v>20</v>
      </c>
      <c r="E63" s="1" t="s">
        <v>21</v>
      </c>
      <c r="F63">
        <v>500</v>
      </c>
      <c r="G63">
        <v>5</v>
      </c>
      <c r="H63" s="1" t="s">
        <v>13</v>
      </c>
      <c r="I63" s="1" t="s">
        <v>14</v>
      </c>
      <c r="J63">
        <v>5</v>
      </c>
      <c r="K63" t="s">
        <v>53</v>
      </c>
      <c r="L63" t="s">
        <v>50</v>
      </c>
      <c r="M63" t="s">
        <v>51</v>
      </c>
    </row>
    <row r="64" spans="1:13" x14ac:dyDescent="0.35">
      <c r="A64">
        <v>64</v>
      </c>
      <c r="B64">
        <v>70</v>
      </c>
      <c r="C64" s="1" t="s">
        <v>15</v>
      </c>
      <c r="D64" s="1" t="s">
        <v>22</v>
      </c>
      <c r="E64" s="1" t="s">
        <v>23</v>
      </c>
      <c r="F64">
        <v>10000</v>
      </c>
      <c r="G64">
        <v>11</v>
      </c>
      <c r="H64" s="1" t="s">
        <v>18</v>
      </c>
      <c r="I64" s="1" t="s">
        <v>19</v>
      </c>
      <c r="J64">
        <v>2</v>
      </c>
      <c r="K64" t="s">
        <v>55</v>
      </c>
      <c r="L64" t="s">
        <v>58</v>
      </c>
      <c r="M64" t="s">
        <v>57</v>
      </c>
    </row>
    <row r="65" spans="1:13" x14ac:dyDescent="0.35">
      <c r="A65">
        <v>65</v>
      </c>
      <c r="B65">
        <v>55</v>
      </c>
      <c r="C65" s="1" t="s">
        <v>10</v>
      </c>
      <c r="D65" s="1" t="s">
        <v>24</v>
      </c>
      <c r="E65" s="1" t="s">
        <v>25</v>
      </c>
      <c r="F65">
        <v>25000</v>
      </c>
      <c r="G65">
        <v>14</v>
      </c>
      <c r="H65" s="1" t="s">
        <v>13</v>
      </c>
      <c r="I65" s="1" t="s">
        <v>14</v>
      </c>
      <c r="J65">
        <v>4</v>
      </c>
      <c r="K65" t="s">
        <v>49</v>
      </c>
      <c r="L65" t="s">
        <v>58</v>
      </c>
      <c r="M65" t="s">
        <v>51</v>
      </c>
    </row>
    <row r="66" spans="1:13" x14ac:dyDescent="0.35">
      <c r="A66">
        <v>66</v>
      </c>
      <c r="B66">
        <v>68</v>
      </c>
      <c r="C66" s="1" t="s">
        <v>15</v>
      </c>
      <c r="D66" s="1" t="s">
        <v>26</v>
      </c>
      <c r="E66" s="1" t="s">
        <v>27</v>
      </c>
      <c r="F66">
        <v>1000</v>
      </c>
      <c r="G66">
        <v>6</v>
      </c>
      <c r="H66" s="1" t="s">
        <v>13</v>
      </c>
      <c r="I66" s="1" t="s">
        <v>19</v>
      </c>
      <c r="J66">
        <v>4</v>
      </c>
      <c r="K66" t="s">
        <v>55</v>
      </c>
      <c r="L66" t="s">
        <v>56</v>
      </c>
      <c r="M66" t="s">
        <v>51</v>
      </c>
    </row>
    <row r="67" spans="1:13" x14ac:dyDescent="0.35">
      <c r="A67">
        <v>67</v>
      </c>
      <c r="B67">
        <v>45</v>
      </c>
      <c r="C67" s="1" t="s">
        <v>10</v>
      </c>
      <c r="D67" s="1" t="s">
        <v>28</v>
      </c>
      <c r="E67" s="1" t="s">
        <v>29</v>
      </c>
      <c r="F67">
        <v>8000</v>
      </c>
      <c r="G67">
        <v>8</v>
      </c>
      <c r="H67" s="1" t="s">
        <v>13</v>
      </c>
      <c r="I67" s="1" t="s">
        <v>14</v>
      </c>
      <c r="J67">
        <v>3</v>
      </c>
      <c r="K67" t="s">
        <v>49</v>
      </c>
      <c r="L67" t="s">
        <v>56</v>
      </c>
      <c r="M67" t="s">
        <v>52</v>
      </c>
    </row>
    <row r="68" spans="1:13" x14ac:dyDescent="0.35">
      <c r="A68">
        <v>68</v>
      </c>
      <c r="B68">
        <v>40</v>
      </c>
      <c r="C68" s="1" t="s">
        <v>15</v>
      </c>
      <c r="D68" s="1" t="s">
        <v>30</v>
      </c>
      <c r="E68" s="1" t="s">
        <v>31</v>
      </c>
      <c r="F68">
        <v>3000</v>
      </c>
      <c r="G68">
        <v>10</v>
      </c>
      <c r="H68" s="1" t="s">
        <v>13</v>
      </c>
      <c r="I68" s="1" t="s">
        <v>14</v>
      </c>
      <c r="J68">
        <v>4</v>
      </c>
      <c r="K68" t="s">
        <v>49</v>
      </c>
      <c r="L68" t="s">
        <v>56</v>
      </c>
      <c r="M68" t="s">
        <v>51</v>
      </c>
    </row>
    <row r="69" spans="1:13" x14ac:dyDescent="0.35">
      <c r="A69">
        <v>69</v>
      </c>
      <c r="B69">
        <v>78</v>
      </c>
      <c r="C69" s="1" t="s">
        <v>10</v>
      </c>
      <c r="D69" s="1" t="s">
        <v>32</v>
      </c>
      <c r="E69" s="1" t="s">
        <v>33</v>
      </c>
      <c r="F69">
        <v>18000</v>
      </c>
      <c r="G69">
        <v>12</v>
      </c>
      <c r="H69" s="1" t="s">
        <v>18</v>
      </c>
      <c r="I69" s="1" t="s">
        <v>19</v>
      </c>
      <c r="J69">
        <v>2</v>
      </c>
      <c r="K69" t="s">
        <v>55</v>
      </c>
      <c r="L69" t="s">
        <v>58</v>
      </c>
      <c r="M69" t="s">
        <v>57</v>
      </c>
    </row>
    <row r="70" spans="1:13" x14ac:dyDescent="0.35">
      <c r="A70">
        <v>70</v>
      </c>
      <c r="B70">
        <v>25</v>
      </c>
      <c r="C70" s="1" t="s">
        <v>15</v>
      </c>
      <c r="D70" s="1" t="s">
        <v>34</v>
      </c>
      <c r="E70" s="1" t="s">
        <v>35</v>
      </c>
      <c r="F70">
        <v>100</v>
      </c>
      <c r="G70">
        <v>5</v>
      </c>
      <c r="H70" s="1" t="s">
        <v>13</v>
      </c>
      <c r="I70" s="1" t="s">
        <v>14</v>
      </c>
      <c r="J70">
        <v>5</v>
      </c>
      <c r="K70" t="s">
        <v>53</v>
      </c>
      <c r="L70" t="s">
        <v>50</v>
      </c>
      <c r="M70" t="s">
        <v>51</v>
      </c>
    </row>
    <row r="71" spans="1:13" x14ac:dyDescent="0.35">
      <c r="A71">
        <v>71</v>
      </c>
      <c r="B71">
        <v>52</v>
      </c>
      <c r="C71" s="1" t="s">
        <v>10</v>
      </c>
      <c r="D71" s="1" t="s">
        <v>36</v>
      </c>
      <c r="E71" s="1" t="s">
        <v>37</v>
      </c>
      <c r="F71">
        <v>800</v>
      </c>
      <c r="G71">
        <v>6</v>
      </c>
      <c r="H71" s="1" t="s">
        <v>13</v>
      </c>
      <c r="I71" s="1" t="s">
        <v>19</v>
      </c>
      <c r="J71">
        <v>4</v>
      </c>
      <c r="K71" t="s">
        <v>49</v>
      </c>
      <c r="L71" t="s">
        <v>56</v>
      </c>
      <c r="M71" t="s">
        <v>51</v>
      </c>
    </row>
    <row r="72" spans="1:13" x14ac:dyDescent="0.35">
      <c r="A72">
        <v>72</v>
      </c>
      <c r="B72">
        <v>58</v>
      </c>
      <c r="C72" s="1" t="s">
        <v>15</v>
      </c>
      <c r="D72" s="1" t="s">
        <v>38</v>
      </c>
      <c r="E72" s="1" t="s">
        <v>39</v>
      </c>
      <c r="F72">
        <v>20000</v>
      </c>
      <c r="G72">
        <v>13</v>
      </c>
      <c r="H72" s="1" t="s">
        <v>13</v>
      </c>
      <c r="I72" s="1" t="s">
        <v>14</v>
      </c>
      <c r="J72">
        <v>3</v>
      </c>
      <c r="K72" t="s">
        <v>49</v>
      </c>
      <c r="L72" t="s">
        <v>58</v>
      </c>
      <c r="M72" t="s">
        <v>52</v>
      </c>
    </row>
    <row r="73" spans="1:13" x14ac:dyDescent="0.35">
      <c r="A73">
        <v>73</v>
      </c>
      <c r="B73">
        <v>32</v>
      </c>
      <c r="C73" s="1" t="s">
        <v>10</v>
      </c>
      <c r="D73" s="1" t="s">
        <v>40</v>
      </c>
      <c r="E73" s="1" t="s">
        <v>41</v>
      </c>
      <c r="F73">
        <v>12000</v>
      </c>
      <c r="G73">
        <v>7</v>
      </c>
      <c r="H73" s="1" t="s">
        <v>13</v>
      </c>
      <c r="I73" s="1" t="s">
        <v>14</v>
      </c>
      <c r="J73">
        <v>4</v>
      </c>
      <c r="K73" t="s">
        <v>53</v>
      </c>
      <c r="L73" t="s">
        <v>56</v>
      </c>
      <c r="M73" t="s">
        <v>51</v>
      </c>
    </row>
    <row r="74" spans="1:13" x14ac:dyDescent="0.35">
      <c r="A74">
        <v>74</v>
      </c>
      <c r="B74">
        <v>55</v>
      </c>
      <c r="C74" s="1" t="s">
        <v>15</v>
      </c>
      <c r="D74" s="1" t="s">
        <v>42</v>
      </c>
      <c r="E74" s="1" t="s">
        <v>43</v>
      </c>
      <c r="F74">
        <v>6000</v>
      </c>
      <c r="G74">
        <v>8</v>
      </c>
      <c r="H74" s="1" t="s">
        <v>13</v>
      </c>
      <c r="I74" s="1" t="s">
        <v>14</v>
      </c>
      <c r="J74">
        <v>3</v>
      </c>
      <c r="K74" t="s">
        <v>49</v>
      </c>
      <c r="L74" t="s">
        <v>56</v>
      </c>
      <c r="M74" t="s">
        <v>52</v>
      </c>
    </row>
    <row r="75" spans="1:13" x14ac:dyDescent="0.35">
      <c r="A75">
        <v>75</v>
      </c>
      <c r="B75">
        <v>65</v>
      </c>
      <c r="C75" s="1" t="s">
        <v>10</v>
      </c>
      <c r="D75" s="1" t="s">
        <v>44</v>
      </c>
      <c r="E75" s="1" t="s">
        <v>45</v>
      </c>
      <c r="F75">
        <v>4000</v>
      </c>
      <c r="G75">
        <v>9</v>
      </c>
      <c r="H75" s="1" t="s">
        <v>13</v>
      </c>
      <c r="I75" s="1" t="s">
        <v>19</v>
      </c>
      <c r="J75">
        <v>4</v>
      </c>
      <c r="K75" t="s">
        <v>55</v>
      </c>
      <c r="L75" t="s">
        <v>56</v>
      </c>
      <c r="M75" t="s">
        <v>51</v>
      </c>
    </row>
    <row r="76" spans="1:13" x14ac:dyDescent="0.35">
      <c r="A76">
        <v>76</v>
      </c>
      <c r="B76">
        <v>55</v>
      </c>
      <c r="C76" s="1" t="s">
        <v>10</v>
      </c>
      <c r="D76" s="1" t="s">
        <v>11</v>
      </c>
      <c r="E76" s="1" t="s">
        <v>12</v>
      </c>
      <c r="F76">
        <v>15000</v>
      </c>
      <c r="G76">
        <v>10</v>
      </c>
      <c r="H76" s="1" t="s">
        <v>18</v>
      </c>
      <c r="I76" s="1" t="s">
        <v>14</v>
      </c>
      <c r="J76">
        <v>3</v>
      </c>
      <c r="K76" t="s">
        <v>49</v>
      </c>
      <c r="L76" t="s">
        <v>56</v>
      </c>
      <c r="M76" t="s">
        <v>52</v>
      </c>
    </row>
    <row r="77" spans="1:13" x14ac:dyDescent="0.35">
      <c r="A77">
        <v>77</v>
      </c>
      <c r="B77">
        <v>62</v>
      </c>
      <c r="C77" s="1" t="s">
        <v>15</v>
      </c>
      <c r="D77" s="1" t="s">
        <v>16</v>
      </c>
      <c r="E77" s="1" t="s">
        <v>17</v>
      </c>
      <c r="F77">
        <v>2000</v>
      </c>
      <c r="G77">
        <v>8</v>
      </c>
      <c r="H77" s="1" t="s">
        <v>13</v>
      </c>
      <c r="I77" s="1" t="s">
        <v>19</v>
      </c>
      <c r="J77">
        <v>4</v>
      </c>
      <c r="K77" t="s">
        <v>55</v>
      </c>
      <c r="L77" t="s">
        <v>56</v>
      </c>
      <c r="M77" t="s">
        <v>51</v>
      </c>
    </row>
    <row r="78" spans="1:13" x14ac:dyDescent="0.35">
      <c r="A78">
        <v>78</v>
      </c>
      <c r="B78">
        <v>35</v>
      </c>
      <c r="C78" s="1" t="s">
        <v>10</v>
      </c>
      <c r="D78" s="1" t="s">
        <v>20</v>
      </c>
      <c r="E78" s="1" t="s">
        <v>21</v>
      </c>
      <c r="F78">
        <v>500</v>
      </c>
      <c r="G78">
        <v>6</v>
      </c>
      <c r="H78" s="1" t="s">
        <v>18</v>
      </c>
      <c r="I78" s="1" t="s">
        <v>14</v>
      </c>
      <c r="J78">
        <v>5</v>
      </c>
      <c r="K78" t="s">
        <v>53</v>
      </c>
      <c r="L78" t="s">
        <v>56</v>
      </c>
      <c r="M78" t="s">
        <v>51</v>
      </c>
    </row>
    <row r="79" spans="1:13" x14ac:dyDescent="0.35">
      <c r="A79">
        <v>79</v>
      </c>
      <c r="B79">
        <v>78</v>
      </c>
      <c r="C79" s="1" t="s">
        <v>15</v>
      </c>
      <c r="D79" s="1" t="s">
        <v>22</v>
      </c>
      <c r="E79" s="1" t="s">
        <v>23</v>
      </c>
      <c r="F79">
        <v>10000</v>
      </c>
      <c r="G79">
        <v>12</v>
      </c>
      <c r="H79" s="1" t="s">
        <v>13</v>
      </c>
      <c r="I79" s="1" t="s">
        <v>19</v>
      </c>
      <c r="J79">
        <v>2</v>
      </c>
      <c r="K79" t="s">
        <v>55</v>
      </c>
      <c r="L79" t="s">
        <v>58</v>
      </c>
      <c r="M79" t="s">
        <v>57</v>
      </c>
    </row>
    <row r="80" spans="1:13" x14ac:dyDescent="0.35">
      <c r="A80">
        <v>80</v>
      </c>
      <c r="B80">
        <v>53</v>
      </c>
      <c r="C80" s="1" t="s">
        <v>10</v>
      </c>
      <c r="D80" s="1" t="s">
        <v>24</v>
      </c>
      <c r="E80" s="1" t="s">
        <v>25</v>
      </c>
      <c r="F80">
        <v>25000</v>
      </c>
      <c r="G80">
        <v>15</v>
      </c>
      <c r="H80" s="1" t="s">
        <v>18</v>
      </c>
      <c r="I80" s="1" t="s">
        <v>14</v>
      </c>
      <c r="J80">
        <v>4</v>
      </c>
      <c r="K80" t="s">
        <v>49</v>
      </c>
      <c r="L80" t="s">
        <v>58</v>
      </c>
      <c r="M80" t="s">
        <v>51</v>
      </c>
    </row>
    <row r="81" spans="1:13" x14ac:dyDescent="0.35">
      <c r="A81">
        <v>81</v>
      </c>
      <c r="B81">
        <v>72</v>
      </c>
      <c r="C81" s="1" t="s">
        <v>15</v>
      </c>
      <c r="D81" s="1" t="s">
        <v>26</v>
      </c>
      <c r="E81" s="1" t="s">
        <v>27</v>
      </c>
      <c r="F81">
        <v>1000</v>
      </c>
      <c r="G81">
        <v>7</v>
      </c>
      <c r="H81" s="1" t="s">
        <v>13</v>
      </c>
      <c r="I81" s="1" t="s">
        <v>19</v>
      </c>
      <c r="J81">
        <v>4</v>
      </c>
      <c r="K81" t="s">
        <v>55</v>
      </c>
      <c r="L81" t="s">
        <v>56</v>
      </c>
      <c r="M81" t="s">
        <v>51</v>
      </c>
    </row>
    <row r="82" spans="1:13" x14ac:dyDescent="0.35">
      <c r="A82">
        <v>82</v>
      </c>
      <c r="B82">
        <v>60</v>
      </c>
      <c r="C82" s="1" t="s">
        <v>10</v>
      </c>
      <c r="D82" s="1" t="s">
        <v>28</v>
      </c>
      <c r="E82" s="1" t="s">
        <v>29</v>
      </c>
      <c r="F82">
        <v>8000</v>
      </c>
      <c r="G82">
        <v>9</v>
      </c>
      <c r="H82" s="1" t="s">
        <v>18</v>
      </c>
      <c r="I82" s="1" t="s">
        <v>14</v>
      </c>
      <c r="J82">
        <v>3</v>
      </c>
      <c r="K82" t="s">
        <v>49</v>
      </c>
      <c r="L82" t="s">
        <v>56</v>
      </c>
      <c r="M82" t="s">
        <v>52</v>
      </c>
    </row>
    <row r="83" spans="1:13" x14ac:dyDescent="0.35">
      <c r="A83">
        <v>83</v>
      </c>
      <c r="B83">
        <v>45</v>
      </c>
      <c r="C83" s="1" t="s">
        <v>15</v>
      </c>
      <c r="D83" s="1" t="s">
        <v>30</v>
      </c>
      <c r="E83" s="1" t="s">
        <v>31</v>
      </c>
      <c r="F83">
        <v>3000</v>
      </c>
      <c r="G83">
        <v>11</v>
      </c>
      <c r="H83" s="1" t="s">
        <v>13</v>
      </c>
      <c r="I83" s="1" t="s">
        <v>14</v>
      </c>
      <c r="J83">
        <v>4</v>
      </c>
      <c r="K83" t="s">
        <v>49</v>
      </c>
      <c r="L83" t="s">
        <v>58</v>
      </c>
      <c r="M83" t="s">
        <v>51</v>
      </c>
    </row>
    <row r="84" spans="1:13" x14ac:dyDescent="0.35">
      <c r="A84">
        <v>84</v>
      </c>
      <c r="B84">
        <v>75</v>
      </c>
      <c r="C84" s="1" t="s">
        <v>10</v>
      </c>
      <c r="D84" s="1" t="s">
        <v>32</v>
      </c>
      <c r="E84" s="1" t="s">
        <v>33</v>
      </c>
      <c r="F84">
        <v>18000</v>
      </c>
      <c r="G84">
        <v>13</v>
      </c>
      <c r="H84" s="1" t="s">
        <v>18</v>
      </c>
      <c r="I84" s="1" t="s">
        <v>19</v>
      </c>
      <c r="J84">
        <v>2</v>
      </c>
      <c r="K84" t="s">
        <v>55</v>
      </c>
      <c r="L84" t="s">
        <v>58</v>
      </c>
      <c r="M84" t="s">
        <v>57</v>
      </c>
    </row>
    <row r="85" spans="1:13" x14ac:dyDescent="0.35">
      <c r="A85">
        <v>85</v>
      </c>
      <c r="B85">
        <v>28</v>
      </c>
      <c r="C85" s="1" t="s">
        <v>15</v>
      </c>
      <c r="D85" s="1" t="s">
        <v>34</v>
      </c>
      <c r="E85" s="1" t="s">
        <v>35</v>
      </c>
      <c r="F85">
        <v>100</v>
      </c>
      <c r="G85">
        <v>6</v>
      </c>
      <c r="H85" s="1" t="s">
        <v>13</v>
      </c>
      <c r="I85" s="1" t="s">
        <v>14</v>
      </c>
      <c r="J85">
        <v>5</v>
      </c>
      <c r="K85" t="s">
        <v>53</v>
      </c>
      <c r="L85" t="s">
        <v>56</v>
      </c>
      <c r="M85" t="s">
        <v>51</v>
      </c>
    </row>
    <row r="86" spans="1:13" x14ac:dyDescent="0.35">
      <c r="A86">
        <v>86</v>
      </c>
      <c r="B86">
        <v>52</v>
      </c>
      <c r="C86" s="1" t="s">
        <v>10</v>
      </c>
      <c r="D86" s="1" t="s">
        <v>36</v>
      </c>
      <c r="E86" s="1" t="s">
        <v>37</v>
      </c>
      <c r="F86">
        <v>800</v>
      </c>
      <c r="G86">
        <v>7</v>
      </c>
      <c r="H86" s="1" t="s">
        <v>13</v>
      </c>
      <c r="I86" s="1" t="s">
        <v>19</v>
      </c>
      <c r="J86">
        <v>4</v>
      </c>
      <c r="K86" t="s">
        <v>49</v>
      </c>
      <c r="L86" t="s">
        <v>56</v>
      </c>
      <c r="M86" t="s">
        <v>51</v>
      </c>
    </row>
    <row r="87" spans="1:13" x14ac:dyDescent="0.35">
      <c r="A87">
        <v>87</v>
      </c>
      <c r="B87">
        <v>67</v>
      </c>
      <c r="C87" s="1" t="s">
        <v>15</v>
      </c>
      <c r="D87" s="1" t="s">
        <v>38</v>
      </c>
      <c r="E87" s="1" t="s">
        <v>39</v>
      </c>
      <c r="F87">
        <v>20000</v>
      </c>
      <c r="G87">
        <v>14</v>
      </c>
      <c r="H87" s="1" t="s">
        <v>13</v>
      </c>
      <c r="I87" s="1" t="s">
        <v>14</v>
      </c>
      <c r="J87">
        <v>3</v>
      </c>
      <c r="K87" t="s">
        <v>55</v>
      </c>
      <c r="L87" t="s">
        <v>58</v>
      </c>
      <c r="M87" t="s">
        <v>52</v>
      </c>
    </row>
    <row r="88" spans="1:13" x14ac:dyDescent="0.35">
      <c r="A88">
        <v>88</v>
      </c>
      <c r="B88">
        <v>35</v>
      </c>
      <c r="C88" s="1" t="s">
        <v>10</v>
      </c>
      <c r="D88" s="1" t="s">
        <v>40</v>
      </c>
      <c r="E88" s="1" t="s">
        <v>41</v>
      </c>
      <c r="F88">
        <v>12000</v>
      </c>
      <c r="G88">
        <v>8</v>
      </c>
      <c r="H88" s="1" t="s">
        <v>13</v>
      </c>
      <c r="I88" s="1" t="s">
        <v>14</v>
      </c>
      <c r="J88">
        <v>4</v>
      </c>
      <c r="K88" t="s">
        <v>53</v>
      </c>
      <c r="L88" t="s">
        <v>56</v>
      </c>
      <c r="M88" t="s">
        <v>51</v>
      </c>
    </row>
    <row r="89" spans="1:13" x14ac:dyDescent="0.35">
      <c r="A89">
        <v>89</v>
      </c>
      <c r="B89">
        <v>50</v>
      </c>
      <c r="C89" s="1" t="s">
        <v>15</v>
      </c>
      <c r="D89" s="1" t="s">
        <v>42</v>
      </c>
      <c r="E89" s="1" t="s">
        <v>43</v>
      </c>
      <c r="F89">
        <v>6000</v>
      </c>
      <c r="G89">
        <v>9</v>
      </c>
      <c r="H89" s="1" t="s">
        <v>13</v>
      </c>
      <c r="I89" s="1" t="s">
        <v>14</v>
      </c>
      <c r="J89">
        <v>3</v>
      </c>
      <c r="K89" t="s">
        <v>49</v>
      </c>
      <c r="L89" t="s">
        <v>56</v>
      </c>
      <c r="M89" t="s">
        <v>52</v>
      </c>
    </row>
    <row r="90" spans="1:13" x14ac:dyDescent="0.35">
      <c r="A90">
        <v>90</v>
      </c>
      <c r="B90">
        <v>60</v>
      </c>
      <c r="C90" s="1" t="s">
        <v>10</v>
      </c>
      <c r="D90" s="1" t="s">
        <v>44</v>
      </c>
      <c r="E90" s="1" t="s">
        <v>45</v>
      </c>
      <c r="F90">
        <v>4000</v>
      </c>
      <c r="G90">
        <v>10</v>
      </c>
      <c r="H90" s="1" t="s">
        <v>13</v>
      </c>
      <c r="I90" s="1" t="s">
        <v>19</v>
      </c>
      <c r="J90">
        <v>4</v>
      </c>
      <c r="K90" t="s">
        <v>49</v>
      </c>
      <c r="L90" t="s">
        <v>56</v>
      </c>
      <c r="M90" t="s">
        <v>51</v>
      </c>
    </row>
    <row r="91" spans="1:13" x14ac:dyDescent="0.35">
      <c r="A91">
        <v>91</v>
      </c>
      <c r="B91">
        <v>48</v>
      </c>
      <c r="C91" s="1" t="s">
        <v>10</v>
      </c>
      <c r="D91" s="1" t="s">
        <v>11</v>
      </c>
      <c r="E91" s="1" t="s">
        <v>12</v>
      </c>
      <c r="F91">
        <v>15000</v>
      </c>
      <c r="G91">
        <v>11</v>
      </c>
      <c r="H91" s="1" t="s">
        <v>18</v>
      </c>
      <c r="I91" s="1" t="s">
        <v>14</v>
      </c>
      <c r="J91">
        <v>4</v>
      </c>
      <c r="K91" t="s">
        <v>49</v>
      </c>
      <c r="L91" t="s">
        <v>58</v>
      </c>
      <c r="M91" t="s">
        <v>51</v>
      </c>
    </row>
    <row r="92" spans="1:13" x14ac:dyDescent="0.35">
      <c r="A92">
        <v>92</v>
      </c>
      <c r="B92">
        <v>65</v>
      </c>
      <c r="C92" s="1" t="s">
        <v>15</v>
      </c>
      <c r="D92" s="1" t="s">
        <v>16</v>
      </c>
      <c r="E92" s="1" t="s">
        <v>17</v>
      </c>
      <c r="F92">
        <v>2000</v>
      </c>
      <c r="G92">
        <v>9</v>
      </c>
      <c r="H92" s="1" t="s">
        <v>13</v>
      </c>
      <c r="I92" s="1" t="s">
        <v>19</v>
      </c>
      <c r="J92">
        <v>3</v>
      </c>
      <c r="K92" t="s">
        <v>55</v>
      </c>
      <c r="L92" t="s">
        <v>56</v>
      </c>
      <c r="M92" t="s">
        <v>52</v>
      </c>
    </row>
    <row r="93" spans="1:13" x14ac:dyDescent="0.35">
      <c r="A93">
        <v>93</v>
      </c>
      <c r="B93">
        <v>30</v>
      </c>
      <c r="C93" s="1" t="s">
        <v>10</v>
      </c>
      <c r="D93" s="1" t="s">
        <v>20</v>
      </c>
      <c r="E93" s="1" t="s">
        <v>21</v>
      </c>
      <c r="F93">
        <v>500</v>
      </c>
      <c r="G93">
        <v>7</v>
      </c>
      <c r="H93" s="1" t="s">
        <v>13</v>
      </c>
      <c r="I93" s="1" t="s">
        <v>14</v>
      </c>
      <c r="J93">
        <v>5</v>
      </c>
      <c r="K93" t="s">
        <v>53</v>
      </c>
      <c r="L93" t="s">
        <v>56</v>
      </c>
      <c r="M93" t="s">
        <v>51</v>
      </c>
    </row>
    <row r="94" spans="1:13" x14ac:dyDescent="0.35">
      <c r="A94">
        <v>94</v>
      </c>
      <c r="B94">
        <v>70</v>
      </c>
      <c r="C94" s="1" t="s">
        <v>15</v>
      </c>
      <c r="D94" s="1" t="s">
        <v>22</v>
      </c>
      <c r="E94" s="1" t="s">
        <v>23</v>
      </c>
      <c r="F94">
        <v>10000</v>
      </c>
      <c r="G94">
        <v>13</v>
      </c>
      <c r="H94" s="1" t="s">
        <v>18</v>
      </c>
      <c r="I94" s="1" t="s">
        <v>19</v>
      </c>
      <c r="J94">
        <v>2</v>
      </c>
      <c r="K94" t="s">
        <v>55</v>
      </c>
      <c r="L94" t="s">
        <v>58</v>
      </c>
      <c r="M94" t="s">
        <v>57</v>
      </c>
    </row>
    <row r="95" spans="1:13" x14ac:dyDescent="0.35">
      <c r="A95">
        <v>95</v>
      </c>
      <c r="B95">
        <v>55</v>
      </c>
      <c r="C95" s="1" t="s">
        <v>10</v>
      </c>
      <c r="D95" s="1" t="s">
        <v>24</v>
      </c>
      <c r="E95" s="1" t="s">
        <v>25</v>
      </c>
      <c r="F95">
        <v>25000</v>
      </c>
      <c r="G95">
        <v>16</v>
      </c>
      <c r="H95" s="1" t="s">
        <v>13</v>
      </c>
      <c r="I95" s="1" t="s">
        <v>14</v>
      </c>
      <c r="J95">
        <v>4</v>
      </c>
      <c r="K95" t="s">
        <v>49</v>
      </c>
      <c r="L95" t="s">
        <v>58</v>
      </c>
      <c r="M95" t="s">
        <v>51</v>
      </c>
    </row>
    <row r="96" spans="1:13" x14ac:dyDescent="0.35">
      <c r="A96">
        <v>96</v>
      </c>
      <c r="B96">
        <v>68</v>
      </c>
      <c r="C96" s="1" t="s">
        <v>15</v>
      </c>
      <c r="D96" s="1" t="s">
        <v>26</v>
      </c>
      <c r="E96" s="1" t="s">
        <v>27</v>
      </c>
      <c r="F96">
        <v>1000</v>
      </c>
      <c r="G96">
        <v>8</v>
      </c>
      <c r="H96" s="1" t="s">
        <v>13</v>
      </c>
      <c r="I96" s="1" t="s">
        <v>19</v>
      </c>
      <c r="J96">
        <v>4</v>
      </c>
      <c r="K96" t="s">
        <v>55</v>
      </c>
      <c r="L96" t="s">
        <v>56</v>
      </c>
      <c r="M96" t="s">
        <v>51</v>
      </c>
    </row>
    <row r="97" spans="1:13" x14ac:dyDescent="0.35">
      <c r="A97">
        <v>97</v>
      </c>
      <c r="B97">
        <v>45</v>
      </c>
      <c r="C97" s="1" t="s">
        <v>10</v>
      </c>
      <c r="D97" s="1" t="s">
        <v>28</v>
      </c>
      <c r="E97" s="1" t="s">
        <v>29</v>
      </c>
      <c r="F97">
        <v>8000</v>
      </c>
      <c r="G97">
        <v>10</v>
      </c>
      <c r="H97" s="1" t="s">
        <v>13</v>
      </c>
      <c r="I97" s="1" t="s">
        <v>14</v>
      </c>
      <c r="J97">
        <v>3</v>
      </c>
      <c r="K97" t="s">
        <v>49</v>
      </c>
      <c r="L97" t="s">
        <v>56</v>
      </c>
      <c r="M97" t="s">
        <v>52</v>
      </c>
    </row>
    <row r="98" spans="1:13" x14ac:dyDescent="0.35">
      <c r="A98">
        <v>98</v>
      </c>
      <c r="B98">
        <v>40</v>
      </c>
      <c r="C98" s="1" t="s">
        <v>15</v>
      </c>
      <c r="D98" s="1" t="s">
        <v>30</v>
      </c>
      <c r="E98" s="1" t="s">
        <v>31</v>
      </c>
      <c r="F98">
        <v>3000</v>
      </c>
      <c r="G98">
        <v>12</v>
      </c>
      <c r="H98" s="1" t="s">
        <v>13</v>
      </c>
      <c r="I98" s="1" t="s">
        <v>14</v>
      </c>
      <c r="J98">
        <v>4</v>
      </c>
      <c r="K98" t="s">
        <v>49</v>
      </c>
      <c r="L98" t="s">
        <v>58</v>
      </c>
      <c r="M98" t="s">
        <v>51</v>
      </c>
    </row>
    <row r="99" spans="1:13" x14ac:dyDescent="0.35">
      <c r="A99">
        <v>99</v>
      </c>
      <c r="B99">
        <v>78</v>
      </c>
      <c r="C99" s="1" t="s">
        <v>10</v>
      </c>
      <c r="D99" s="1" t="s">
        <v>32</v>
      </c>
      <c r="E99" s="1" t="s">
        <v>33</v>
      </c>
      <c r="F99">
        <v>18000</v>
      </c>
      <c r="G99">
        <v>14</v>
      </c>
      <c r="H99" s="1" t="s">
        <v>18</v>
      </c>
      <c r="I99" s="1" t="s">
        <v>19</v>
      </c>
      <c r="J99">
        <v>2</v>
      </c>
      <c r="K99" t="s">
        <v>55</v>
      </c>
      <c r="L99" t="s">
        <v>58</v>
      </c>
      <c r="M99" t="s">
        <v>57</v>
      </c>
    </row>
    <row r="100" spans="1:13" x14ac:dyDescent="0.35">
      <c r="A100">
        <v>100</v>
      </c>
      <c r="B100">
        <v>25</v>
      </c>
      <c r="C100" s="1" t="s">
        <v>15</v>
      </c>
      <c r="D100" s="1" t="s">
        <v>34</v>
      </c>
      <c r="E100" s="1" t="s">
        <v>35</v>
      </c>
      <c r="F100">
        <v>100</v>
      </c>
      <c r="G100">
        <v>7</v>
      </c>
      <c r="H100" s="1" t="s">
        <v>13</v>
      </c>
      <c r="I100" s="1" t="s">
        <v>14</v>
      </c>
      <c r="J100">
        <v>5</v>
      </c>
      <c r="K100" t="s">
        <v>53</v>
      </c>
      <c r="L100" t="s">
        <v>56</v>
      </c>
      <c r="M100" t="s">
        <v>51</v>
      </c>
    </row>
    <row r="101" spans="1:13" x14ac:dyDescent="0.35">
      <c r="A101">
        <v>101</v>
      </c>
      <c r="B101">
        <v>52</v>
      </c>
      <c r="C101" s="1" t="s">
        <v>10</v>
      </c>
      <c r="D101" s="1" t="s">
        <v>36</v>
      </c>
      <c r="E101" s="1" t="s">
        <v>37</v>
      </c>
      <c r="F101">
        <v>800</v>
      </c>
      <c r="G101">
        <v>8</v>
      </c>
      <c r="H101" s="1" t="s">
        <v>13</v>
      </c>
      <c r="I101" s="1" t="s">
        <v>19</v>
      </c>
      <c r="J101">
        <v>4</v>
      </c>
      <c r="K101" t="s">
        <v>49</v>
      </c>
      <c r="L101" t="s">
        <v>56</v>
      </c>
      <c r="M101" t="s">
        <v>51</v>
      </c>
    </row>
    <row r="102" spans="1:13" x14ac:dyDescent="0.35">
      <c r="A102">
        <v>102</v>
      </c>
      <c r="B102">
        <v>58</v>
      </c>
      <c r="C102" s="1" t="s">
        <v>15</v>
      </c>
      <c r="D102" s="1" t="s">
        <v>38</v>
      </c>
      <c r="E102" s="1" t="s">
        <v>39</v>
      </c>
      <c r="F102">
        <v>20000</v>
      </c>
      <c r="G102">
        <v>15</v>
      </c>
      <c r="H102" s="1" t="s">
        <v>13</v>
      </c>
      <c r="I102" s="1" t="s">
        <v>14</v>
      </c>
      <c r="J102">
        <v>3</v>
      </c>
      <c r="K102" t="s">
        <v>49</v>
      </c>
      <c r="L102" t="s">
        <v>58</v>
      </c>
      <c r="M102" t="s">
        <v>52</v>
      </c>
    </row>
    <row r="103" spans="1:13" x14ac:dyDescent="0.35">
      <c r="A103">
        <v>103</v>
      </c>
      <c r="B103">
        <v>32</v>
      </c>
      <c r="C103" s="1" t="s">
        <v>10</v>
      </c>
      <c r="D103" s="1" t="s">
        <v>40</v>
      </c>
      <c r="E103" s="1" t="s">
        <v>41</v>
      </c>
      <c r="F103">
        <v>12000</v>
      </c>
      <c r="G103">
        <v>9</v>
      </c>
      <c r="H103" s="1" t="s">
        <v>13</v>
      </c>
      <c r="I103" s="1" t="s">
        <v>14</v>
      </c>
      <c r="J103">
        <v>4</v>
      </c>
      <c r="K103" t="s">
        <v>53</v>
      </c>
      <c r="L103" t="s">
        <v>56</v>
      </c>
      <c r="M103" t="s">
        <v>51</v>
      </c>
    </row>
    <row r="104" spans="1:13" x14ac:dyDescent="0.35">
      <c r="A104">
        <v>104</v>
      </c>
      <c r="B104">
        <v>55</v>
      </c>
      <c r="C104" s="1" t="s">
        <v>15</v>
      </c>
      <c r="D104" s="1" t="s">
        <v>42</v>
      </c>
      <c r="E104" s="1" t="s">
        <v>43</v>
      </c>
      <c r="F104">
        <v>6000</v>
      </c>
      <c r="G104">
        <v>10</v>
      </c>
      <c r="H104" s="1" t="s">
        <v>13</v>
      </c>
      <c r="I104" s="1" t="s">
        <v>14</v>
      </c>
      <c r="J104">
        <v>3</v>
      </c>
      <c r="K104" t="s">
        <v>49</v>
      </c>
      <c r="L104" t="s">
        <v>56</v>
      </c>
      <c r="M104" t="s">
        <v>52</v>
      </c>
    </row>
    <row r="105" spans="1:13" x14ac:dyDescent="0.35">
      <c r="A105">
        <v>105</v>
      </c>
      <c r="B105">
        <v>65</v>
      </c>
      <c r="C105" s="1" t="s">
        <v>10</v>
      </c>
      <c r="D105" s="1" t="s">
        <v>44</v>
      </c>
      <c r="E105" s="1" t="s">
        <v>45</v>
      </c>
      <c r="F105">
        <v>4000</v>
      </c>
      <c r="G105">
        <v>11</v>
      </c>
      <c r="H105" s="1" t="s">
        <v>13</v>
      </c>
      <c r="I105" s="1" t="s">
        <v>19</v>
      </c>
      <c r="J105">
        <v>4</v>
      </c>
      <c r="K105" t="s">
        <v>55</v>
      </c>
      <c r="L105" t="s">
        <v>58</v>
      </c>
      <c r="M105" t="s">
        <v>51</v>
      </c>
    </row>
    <row r="106" spans="1:13" x14ac:dyDescent="0.35">
      <c r="A106">
        <v>106</v>
      </c>
      <c r="B106">
        <v>55</v>
      </c>
      <c r="C106" s="1" t="s">
        <v>10</v>
      </c>
      <c r="D106" s="1" t="s">
        <v>11</v>
      </c>
      <c r="E106" s="1" t="s">
        <v>12</v>
      </c>
      <c r="F106">
        <v>15000</v>
      </c>
      <c r="G106">
        <v>12</v>
      </c>
      <c r="H106" s="1" t="s">
        <v>18</v>
      </c>
      <c r="I106" s="1" t="s">
        <v>14</v>
      </c>
      <c r="J106">
        <v>3</v>
      </c>
      <c r="K106" t="s">
        <v>49</v>
      </c>
      <c r="L106" t="s">
        <v>58</v>
      </c>
      <c r="M106" t="s">
        <v>52</v>
      </c>
    </row>
    <row r="107" spans="1:13" x14ac:dyDescent="0.35">
      <c r="A107">
        <v>107</v>
      </c>
      <c r="B107">
        <v>62</v>
      </c>
      <c r="C107" s="1" t="s">
        <v>15</v>
      </c>
      <c r="D107" s="1" t="s">
        <v>16</v>
      </c>
      <c r="E107" s="1" t="s">
        <v>17</v>
      </c>
      <c r="F107">
        <v>2000</v>
      </c>
      <c r="G107">
        <v>10</v>
      </c>
      <c r="H107" s="1" t="s">
        <v>13</v>
      </c>
      <c r="I107" s="1" t="s">
        <v>19</v>
      </c>
      <c r="J107">
        <v>4</v>
      </c>
      <c r="K107" t="s">
        <v>55</v>
      </c>
      <c r="L107" t="s">
        <v>56</v>
      </c>
      <c r="M107" t="s">
        <v>51</v>
      </c>
    </row>
    <row r="108" spans="1:13" x14ac:dyDescent="0.35">
      <c r="A108">
        <v>108</v>
      </c>
      <c r="B108">
        <v>35</v>
      </c>
      <c r="C108" s="1" t="s">
        <v>10</v>
      </c>
      <c r="D108" s="1" t="s">
        <v>20</v>
      </c>
      <c r="E108" s="1" t="s">
        <v>21</v>
      </c>
      <c r="F108">
        <v>500</v>
      </c>
      <c r="G108">
        <v>8</v>
      </c>
      <c r="H108" s="1" t="s">
        <v>18</v>
      </c>
      <c r="I108" s="1" t="s">
        <v>14</v>
      </c>
      <c r="J108">
        <v>5</v>
      </c>
      <c r="K108" t="s">
        <v>53</v>
      </c>
      <c r="L108" t="s">
        <v>56</v>
      </c>
      <c r="M108" t="s">
        <v>51</v>
      </c>
    </row>
    <row r="109" spans="1:13" x14ac:dyDescent="0.35">
      <c r="A109">
        <v>109</v>
      </c>
      <c r="B109">
        <v>78</v>
      </c>
      <c r="C109" s="1" t="s">
        <v>15</v>
      </c>
      <c r="D109" s="1" t="s">
        <v>22</v>
      </c>
      <c r="E109" s="1" t="s">
        <v>23</v>
      </c>
      <c r="F109">
        <v>10000</v>
      </c>
      <c r="G109">
        <v>14</v>
      </c>
      <c r="H109" s="1" t="s">
        <v>13</v>
      </c>
      <c r="I109" s="1" t="s">
        <v>19</v>
      </c>
      <c r="J109">
        <v>2</v>
      </c>
      <c r="K109" t="s">
        <v>55</v>
      </c>
      <c r="L109" t="s">
        <v>58</v>
      </c>
      <c r="M109" t="s">
        <v>57</v>
      </c>
    </row>
    <row r="110" spans="1:13" x14ac:dyDescent="0.35">
      <c r="A110">
        <v>110</v>
      </c>
      <c r="B110">
        <v>53</v>
      </c>
      <c r="C110" s="1" t="s">
        <v>10</v>
      </c>
      <c r="D110" s="1" t="s">
        <v>24</v>
      </c>
      <c r="E110" s="1" t="s">
        <v>25</v>
      </c>
      <c r="F110">
        <v>25000</v>
      </c>
      <c r="G110">
        <v>17</v>
      </c>
      <c r="H110" s="1" t="s">
        <v>18</v>
      </c>
      <c r="I110" s="1" t="s">
        <v>14</v>
      </c>
      <c r="J110">
        <v>4</v>
      </c>
      <c r="K110" t="s">
        <v>49</v>
      </c>
      <c r="L110" t="s">
        <v>58</v>
      </c>
      <c r="M110" t="s">
        <v>51</v>
      </c>
    </row>
    <row r="111" spans="1:13" x14ac:dyDescent="0.35">
      <c r="A111">
        <v>111</v>
      </c>
      <c r="B111">
        <v>72</v>
      </c>
      <c r="C111" s="1" t="s">
        <v>15</v>
      </c>
      <c r="D111" s="1" t="s">
        <v>26</v>
      </c>
      <c r="E111" s="1" t="s">
        <v>27</v>
      </c>
      <c r="F111">
        <v>1000</v>
      </c>
      <c r="G111">
        <v>9</v>
      </c>
      <c r="H111" s="1" t="s">
        <v>13</v>
      </c>
      <c r="I111" s="1" t="s">
        <v>19</v>
      </c>
      <c r="J111">
        <v>4</v>
      </c>
      <c r="K111" t="s">
        <v>55</v>
      </c>
      <c r="L111" t="s">
        <v>56</v>
      </c>
      <c r="M111" t="s">
        <v>51</v>
      </c>
    </row>
    <row r="112" spans="1:13" x14ac:dyDescent="0.35">
      <c r="A112">
        <v>112</v>
      </c>
      <c r="B112">
        <v>60</v>
      </c>
      <c r="C112" s="1" t="s">
        <v>10</v>
      </c>
      <c r="D112" s="1" t="s">
        <v>28</v>
      </c>
      <c r="E112" s="1" t="s">
        <v>29</v>
      </c>
      <c r="F112">
        <v>8000</v>
      </c>
      <c r="G112">
        <v>11</v>
      </c>
      <c r="H112" s="1" t="s">
        <v>18</v>
      </c>
      <c r="I112" s="1" t="s">
        <v>14</v>
      </c>
      <c r="J112">
        <v>3</v>
      </c>
      <c r="K112" t="s">
        <v>49</v>
      </c>
      <c r="L112" t="s">
        <v>58</v>
      </c>
      <c r="M112" t="s">
        <v>52</v>
      </c>
    </row>
    <row r="113" spans="1:13" x14ac:dyDescent="0.35">
      <c r="A113">
        <v>113</v>
      </c>
      <c r="B113">
        <v>45</v>
      </c>
      <c r="C113" s="1" t="s">
        <v>15</v>
      </c>
      <c r="D113" s="1" t="s">
        <v>30</v>
      </c>
      <c r="E113" s="1" t="s">
        <v>31</v>
      </c>
      <c r="F113">
        <v>3000</v>
      </c>
      <c r="G113">
        <v>13</v>
      </c>
      <c r="H113" s="1" t="s">
        <v>13</v>
      </c>
      <c r="I113" s="1" t="s">
        <v>14</v>
      </c>
      <c r="J113">
        <v>4</v>
      </c>
      <c r="K113" t="s">
        <v>49</v>
      </c>
      <c r="L113" t="s">
        <v>58</v>
      </c>
      <c r="M113" t="s">
        <v>51</v>
      </c>
    </row>
    <row r="114" spans="1:13" x14ac:dyDescent="0.35">
      <c r="A114">
        <v>114</v>
      </c>
      <c r="B114">
        <v>75</v>
      </c>
      <c r="C114" s="1" t="s">
        <v>10</v>
      </c>
      <c r="D114" s="1" t="s">
        <v>32</v>
      </c>
      <c r="E114" s="1" t="s">
        <v>33</v>
      </c>
      <c r="F114">
        <v>18000</v>
      </c>
      <c r="G114">
        <v>15</v>
      </c>
      <c r="H114" s="1" t="s">
        <v>18</v>
      </c>
      <c r="I114" s="1" t="s">
        <v>19</v>
      </c>
      <c r="J114">
        <v>2</v>
      </c>
      <c r="K114" t="s">
        <v>55</v>
      </c>
      <c r="L114" t="s">
        <v>58</v>
      </c>
      <c r="M114" t="s">
        <v>57</v>
      </c>
    </row>
    <row r="115" spans="1:13" x14ac:dyDescent="0.35">
      <c r="A115">
        <v>115</v>
      </c>
      <c r="B115">
        <v>28</v>
      </c>
      <c r="C115" s="1" t="s">
        <v>15</v>
      </c>
      <c r="D115" s="1" t="s">
        <v>34</v>
      </c>
      <c r="E115" s="1" t="s">
        <v>35</v>
      </c>
      <c r="F115">
        <v>100</v>
      </c>
      <c r="G115">
        <v>8</v>
      </c>
      <c r="H115" s="1" t="s">
        <v>13</v>
      </c>
      <c r="I115" s="1" t="s">
        <v>14</v>
      </c>
      <c r="J115">
        <v>5</v>
      </c>
      <c r="K115" t="s">
        <v>53</v>
      </c>
      <c r="L115" t="s">
        <v>56</v>
      </c>
      <c r="M115" t="s">
        <v>51</v>
      </c>
    </row>
    <row r="116" spans="1:13" x14ac:dyDescent="0.35">
      <c r="A116">
        <v>116</v>
      </c>
      <c r="B116">
        <v>52</v>
      </c>
      <c r="C116" s="1" t="s">
        <v>10</v>
      </c>
      <c r="D116" s="1" t="s">
        <v>36</v>
      </c>
      <c r="E116" s="1" t="s">
        <v>37</v>
      </c>
      <c r="F116">
        <v>800</v>
      </c>
      <c r="G116">
        <v>9</v>
      </c>
      <c r="H116" s="1" t="s">
        <v>13</v>
      </c>
      <c r="I116" s="1" t="s">
        <v>19</v>
      </c>
      <c r="J116">
        <v>4</v>
      </c>
      <c r="K116" t="s">
        <v>49</v>
      </c>
      <c r="L116" t="s">
        <v>56</v>
      </c>
      <c r="M116" t="s">
        <v>51</v>
      </c>
    </row>
    <row r="117" spans="1:13" x14ac:dyDescent="0.35">
      <c r="A117">
        <v>117</v>
      </c>
      <c r="B117">
        <v>67</v>
      </c>
      <c r="C117" s="1" t="s">
        <v>15</v>
      </c>
      <c r="D117" s="1" t="s">
        <v>38</v>
      </c>
      <c r="E117" s="1" t="s">
        <v>39</v>
      </c>
      <c r="F117">
        <v>20000</v>
      </c>
      <c r="G117">
        <v>16</v>
      </c>
      <c r="H117" s="1" t="s">
        <v>13</v>
      </c>
      <c r="I117" s="1" t="s">
        <v>14</v>
      </c>
      <c r="J117">
        <v>3</v>
      </c>
      <c r="K117" t="s">
        <v>55</v>
      </c>
      <c r="L117" t="s">
        <v>58</v>
      </c>
      <c r="M117" t="s">
        <v>52</v>
      </c>
    </row>
    <row r="118" spans="1:13" x14ac:dyDescent="0.35">
      <c r="A118">
        <v>118</v>
      </c>
      <c r="B118">
        <v>35</v>
      </c>
      <c r="C118" s="1" t="s">
        <v>10</v>
      </c>
      <c r="D118" s="1" t="s">
        <v>40</v>
      </c>
      <c r="E118" s="1" t="s">
        <v>41</v>
      </c>
      <c r="F118">
        <v>12000</v>
      </c>
      <c r="G118">
        <v>10</v>
      </c>
      <c r="H118" s="1" t="s">
        <v>13</v>
      </c>
      <c r="I118" s="1" t="s">
        <v>14</v>
      </c>
      <c r="J118">
        <v>4</v>
      </c>
      <c r="K118" t="s">
        <v>53</v>
      </c>
      <c r="L118" t="s">
        <v>56</v>
      </c>
      <c r="M118" t="s">
        <v>51</v>
      </c>
    </row>
    <row r="119" spans="1:13" x14ac:dyDescent="0.35">
      <c r="A119">
        <v>119</v>
      </c>
      <c r="B119">
        <v>50</v>
      </c>
      <c r="C119" s="1" t="s">
        <v>15</v>
      </c>
      <c r="D119" s="1" t="s">
        <v>42</v>
      </c>
      <c r="E119" s="1" t="s">
        <v>43</v>
      </c>
      <c r="F119">
        <v>6000</v>
      </c>
      <c r="G119">
        <v>11</v>
      </c>
      <c r="H119" s="1" t="s">
        <v>13</v>
      </c>
      <c r="I119" s="1" t="s">
        <v>14</v>
      </c>
      <c r="J119">
        <v>3</v>
      </c>
      <c r="K119" t="s">
        <v>49</v>
      </c>
      <c r="L119" t="s">
        <v>58</v>
      </c>
      <c r="M119" t="s">
        <v>52</v>
      </c>
    </row>
    <row r="120" spans="1:13" x14ac:dyDescent="0.35">
      <c r="A120">
        <v>120</v>
      </c>
      <c r="B120">
        <v>60</v>
      </c>
      <c r="C120" s="1" t="s">
        <v>10</v>
      </c>
      <c r="D120" s="1" t="s">
        <v>44</v>
      </c>
      <c r="E120" s="1" t="s">
        <v>45</v>
      </c>
      <c r="F120">
        <v>4000</v>
      </c>
      <c r="G120">
        <v>12</v>
      </c>
      <c r="H120" s="1" t="s">
        <v>13</v>
      </c>
      <c r="I120" s="1" t="s">
        <v>19</v>
      </c>
      <c r="J120">
        <v>4</v>
      </c>
      <c r="K120" t="s">
        <v>49</v>
      </c>
      <c r="L120" t="s">
        <v>58</v>
      </c>
      <c r="M120" t="s">
        <v>51</v>
      </c>
    </row>
    <row r="121" spans="1:13" x14ac:dyDescent="0.35">
      <c r="A121">
        <v>122</v>
      </c>
      <c r="B121">
        <v>65</v>
      </c>
      <c r="C121" s="1" t="s">
        <v>15</v>
      </c>
      <c r="D121" s="1" t="s">
        <v>16</v>
      </c>
      <c r="E121" s="1" t="s">
        <v>17</v>
      </c>
      <c r="F121">
        <v>2000</v>
      </c>
      <c r="G121">
        <v>11</v>
      </c>
      <c r="H121" s="1" t="s">
        <v>13</v>
      </c>
      <c r="I121" s="1" t="s">
        <v>19</v>
      </c>
      <c r="J121">
        <v>3</v>
      </c>
      <c r="K121" t="s">
        <v>55</v>
      </c>
      <c r="L121" t="s">
        <v>58</v>
      </c>
      <c r="M121" t="s">
        <v>52</v>
      </c>
    </row>
    <row r="122" spans="1:13" x14ac:dyDescent="0.35">
      <c r="A122">
        <v>123</v>
      </c>
      <c r="B122">
        <v>30</v>
      </c>
      <c r="C122" s="1" t="s">
        <v>10</v>
      </c>
      <c r="D122" s="1" t="s">
        <v>20</v>
      </c>
      <c r="E122" s="1" t="s">
        <v>21</v>
      </c>
      <c r="F122">
        <v>500</v>
      </c>
      <c r="G122">
        <v>9</v>
      </c>
      <c r="H122" s="1" t="s">
        <v>13</v>
      </c>
      <c r="I122" s="1" t="s">
        <v>14</v>
      </c>
      <c r="J122">
        <v>5</v>
      </c>
      <c r="K122" t="s">
        <v>53</v>
      </c>
      <c r="L122" t="s">
        <v>56</v>
      </c>
      <c r="M122" t="s">
        <v>51</v>
      </c>
    </row>
    <row r="123" spans="1:13" x14ac:dyDescent="0.35">
      <c r="A123">
        <v>124</v>
      </c>
      <c r="B123">
        <v>70</v>
      </c>
      <c r="C123" s="1" t="s">
        <v>15</v>
      </c>
      <c r="D123" s="1" t="s">
        <v>22</v>
      </c>
      <c r="E123" s="1" t="s">
        <v>23</v>
      </c>
      <c r="F123">
        <v>10000</v>
      </c>
      <c r="G123">
        <v>15</v>
      </c>
      <c r="H123" s="1" t="s">
        <v>18</v>
      </c>
      <c r="I123" s="1" t="s">
        <v>19</v>
      </c>
      <c r="J123">
        <v>2</v>
      </c>
      <c r="K123" t="s">
        <v>55</v>
      </c>
      <c r="L123" t="s">
        <v>58</v>
      </c>
      <c r="M123" t="s">
        <v>57</v>
      </c>
    </row>
    <row r="124" spans="1:13" x14ac:dyDescent="0.35">
      <c r="A124">
        <v>125</v>
      </c>
      <c r="B124">
        <v>55</v>
      </c>
      <c r="C124" s="1" t="s">
        <v>10</v>
      </c>
      <c r="D124" s="1" t="s">
        <v>24</v>
      </c>
      <c r="E124" s="1" t="s">
        <v>25</v>
      </c>
      <c r="F124">
        <v>25000</v>
      </c>
      <c r="G124">
        <v>18</v>
      </c>
      <c r="H124" s="1" t="s">
        <v>13</v>
      </c>
      <c r="I124" s="1" t="s">
        <v>14</v>
      </c>
      <c r="J124">
        <v>4</v>
      </c>
      <c r="K124" t="s">
        <v>49</v>
      </c>
      <c r="L124" t="s">
        <v>58</v>
      </c>
      <c r="M124" t="s">
        <v>51</v>
      </c>
    </row>
    <row r="125" spans="1:13" x14ac:dyDescent="0.35">
      <c r="A125">
        <v>126</v>
      </c>
      <c r="B125">
        <v>68</v>
      </c>
      <c r="C125" s="1" t="s">
        <v>15</v>
      </c>
      <c r="D125" s="1" t="s">
        <v>26</v>
      </c>
      <c r="E125" s="1" t="s">
        <v>27</v>
      </c>
      <c r="F125">
        <v>1000</v>
      </c>
      <c r="G125">
        <v>10</v>
      </c>
      <c r="H125" s="1" t="s">
        <v>13</v>
      </c>
      <c r="I125" s="1" t="s">
        <v>19</v>
      </c>
      <c r="J125">
        <v>4</v>
      </c>
      <c r="K125" t="s">
        <v>55</v>
      </c>
      <c r="L125" t="s">
        <v>56</v>
      </c>
      <c r="M125" t="s">
        <v>51</v>
      </c>
    </row>
    <row r="126" spans="1:13" x14ac:dyDescent="0.35">
      <c r="A126">
        <v>127</v>
      </c>
      <c r="B126">
        <v>45</v>
      </c>
      <c r="C126" s="1" t="s">
        <v>10</v>
      </c>
      <c r="D126" s="1" t="s">
        <v>28</v>
      </c>
      <c r="E126" s="1" t="s">
        <v>29</v>
      </c>
      <c r="F126">
        <v>8000</v>
      </c>
      <c r="G126">
        <v>12</v>
      </c>
      <c r="H126" s="1" t="s">
        <v>13</v>
      </c>
      <c r="I126" s="1" t="s">
        <v>14</v>
      </c>
      <c r="J126">
        <v>3</v>
      </c>
      <c r="K126" t="s">
        <v>49</v>
      </c>
      <c r="L126" t="s">
        <v>58</v>
      </c>
      <c r="M126" t="s">
        <v>52</v>
      </c>
    </row>
    <row r="127" spans="1:13" x14ac:dyDescent="0.35">
      <c r="A127">
        <v>128</v>
      </c>
      <c r="B127">
        <v>40</v>
      </c>
      <c r="C127" s="1" t="s">
        <v>15</v>
      </c>
      <c r="D127" s="1" t="s">
        <v>30</v>
      </c>
      <c r="E127" s="1" t="s">
        <v>31</v>
      </c>
      <c r="F127">
        <v>3000</v>
      </c>
      <c r="G127">
        <v>14</v>
      </c>
      <c r="H127" s="1" t="s">
        <v>13</v>
      </c>
      <c r="I127" s="1" t="s">
        <v>14</v>
      </c>
      <c r="J127">
        <v>4</v>
      </c>
      <c r="K127" t="s">
        <v>49</v>
      </c>
      <c r="L127" t="s">
        <v>58</v>
      </c>
      <c r="M127" t="s">
        <v>51</v>
      </c>
    </row>
    <row r="128" spans="1:13" x14ac:dyDescent="0.35">
      <c r="A128">
        <v>129</v>
      </c>
      <c r="B128">
        <v>78</v>
      </c>
      <c r="C128" s="1" t="s">
        <v>10</v>
      </c>
      <c r="D128" s="1" t="s">
        <v>32</v>
      </c>
      <c r="E128" s="1" t="s">
        <v>33</v>
      </c>
      <c r="F128">
        <v>18000</v>
      </c>
      <c r="G128">
        <v>16</v>
      </c>
      <c r="H128" s="1" t="s">
        <v>18</v>
      </c>
      <c r="I128" s="1" t="s">
        <v>19</v>
      </c>
      <c r="J128">
        <v>2</v>
      </c>
      <c r="K128" t="s">
        <v>55</v>
      </c>
      <c r="L128" t="s">
        <v>58</v>
      </c>
      <c r="M128" t="s">
        <v>57</v>
      </c>
    </row>
    <row r="129" spans="1:13" x14ac:dyDescent="0.35">
      <c r="A129">
        <v>130</v>
      </c>
      <c r="B129">
        <v>25</v>
      </c>
      <c r="C129" s="1" t="s">
        <v>15</v>
      </c>
      <c r="D129" s="1" t="s">
        <v>34</v>
      </c>
      <c r="E129" s="1" t="s">
        <v>35</v>
      </c>
      <c r="F129">
        <v>100</v>
      </c>
      <c r="G129">
        <v>9</v>
      </c>
      <c r="H129" s="1" t="s">
        <v>13</v>
      </c>
      <c r="I129" s="1" t="s">
        <v>14</v>
      </c>
      <c r="J129">
        <v>5</v>
      </c>
      <c r="K129" t="s">
        <v>53</v>
      </c>
      <c r="L129" t="s">
        <v>56</v>
      </c>
      <c r="M129" t="s">
        <v>51</v>
      </c>
    </row>
    <row r="130" spans="1:13" x14ac:dyDescent="0.35">
      <c r="A130">
        <v>131</v>
      </c>
      <c r="B130">
        <v>52</v>
      </c>
      <c r="C130" s="1" t="s">
        <v>10</v>
      </c>
      <c r="D130" s="1" t="s">
        <v>36</v>
      </c>
      <c r="E130" s="1" t="s">
        <v>37</v>
      </c>
      <c r="F130">
        <v>800</v>
      </c>
      <c r="G130">
        <v>10</v>
      </c>
      <c r="H130" s="1" t="s">
        <v>13</v>
      </c>
      <c r="I130" s="1" t="s">
        <v>19</v>
      </c>
      <c r="J130">
        <v>4</v>
      </c>
      <c r="K130" t="s">
        <v>49</v>
      </c>
      <c r="L130" t="s">
        <v>56</v>
      </c>
      <c r="M130" t="s">
        <v>51</v>
      </c>
    </row>
    <row r="131" spans="1:13" x14ac:dyDescent="0.35">
      <c r="A131">
        <v>132</v>
      </c>
      <c r="B131">
        <v>58</v>
      </c>
      <c r="C131" s="1" t="s">
        <v>15</v>
      </c>
      <c r="D131" s="1" t="s">
        <v>38</v>
      </c>
      <c r="E131" s="1" t="s">
        <v>39</v>
      </c>
      <c r="F131">
        <v>20000</v>
      </c>
      <c r="G131">
        <v>17</v>
      </c>
      <c r="H131" s="1" t="s">
        <v>13</v>
      </c>
      <c r="I131" s="1" t="s">
        <v>14</v>
      </c>
      <c r="J131">
        <v>3</v>
      </c>
      <c r="K131" t="s">
        <v>49</v>
      </c>
      <c r="L131" t="s">
        <v>58</v>
      </c>
      <c r="M131" t="s">
        <v>52</v>
      </c>
    </row>
    <row r="132" spans="1:13" x14ac:dyDescent="0.35">
      <c r="A132">
        <v>133</v>
      </c>
      <c r="B132">
        <v>32</v>
      </c>
      <c r="C132" s="1" t="s">
        <v>10</v>
      </c>
      <c r="D132" s="1" t="s">
        <v>40</v>
      </c>
      <c r="E132" s="1" t="s">
        <v>41</v>
      </c>
      <c r="F132">
        <v>12000</v>
      </c>
      <c r="G132">
        <v>11</v>
      </c>
      <c r="H132" s="1" t="s">
        <v>13</v>
      </c>
      <c r="I132" s="1" t="s">
        <v>14</v>
      </c>
      <c r="J132">
        <v>4</v>
      </c>
      <c r="K132" t="s">
        <v>53</v>
      </c>
      <c r="L132" t="s">
        <v>58</v>
      </c>
      <c r="M132" t="s">
        <v>51</v>
      </c>
    </row>
    <row r="133" spans="1:13" x14ac:dyDescent="0.35">
      <c r="A133">
        <v>134</v>
      </c>
      <c r="B133">
        <v>55</v>
      </c>
      <c r="C133" s="1" t="s">
        <v>15</v>
      </c>
      <c r="D133" s="1" t="s">
        <v>42</v>
      </c>
      <c r="E133" s="1" t="s">
        <v>43</v>
      </c>
      <c r="F133">
        <v>6000</v>
      </c>
      <c r="G133">
        <v>12</v>
      </c>
      <c r="H133" s="1" t="s">
        <v>13</v>
      </c>
      <c r="I133" s="1" t="s">
        <v>14</v>
      </c>
      <c r="J133">
        <v>3</v>
      </c>
      <c r="K133" t="s">
        <v>49</v>
      </c>
      <c r="L133" t="s">
        <v>58</v>
      </c>
      <c r="M133" t="s">
        <v>52</v>
      </c>
    </row>
    <row r="134" spans="1:13" x14ac:dyDescent="0.35">
      <c r="A134">
        <v>135</v>
      </c>
      <c r="B134">
        <v>65</v>
      </c>
      <c r="C134" s="1" t="s">
        <v>10</v>
      </c>
      <c r="D134" s="1" t="s">
        <v>44</v>
      </c>
      <c r="E134" s="1" t="s">
        <v>45</v>
      </c>
      <c r="F134">
        <v>4000</v>
      </c>
      <c r="G134">
        <v>13</v>
      </c>
      <c r="H134" s="1" t="s">
        <v>13</v>
      </c>
      <c r="I134" s="1" t="s">
        <v>19</v>
      </c>
      <c r="J134">
        <v>4</v>
      </c>
      <c r="K134" t="s">
        <v>55</v>
      </c>
      <c r="L134" t="s">
        <v>58</v>
      </c>
      <c r="M134" t="s">
        <v>51</v>
      </c>
    </row>
    <row r="135" spans="1:13" x14ac:dyDescent="0.35">
      <c r="A135">
        <v>136</v>
      </c>
      <c r="B135">
        <v>55</v>
      </c>
      <c r="C135" s="1" t="s">
        <v>10</v>
      </c>
      <c r="D135" s="1" t="s">
        <v>11</v>
      </c>
      <c r="E135" s="1" t="s">
        <v>12</v>
      </c>
      <c r="F135">
        <v>15000</v>
      </c>
      <c r="G135">
        <v>14</v>
      </c>
      <c r="H135" s="1" t="s">
        <v>18</v>
      </c>
      <c r="I135" s="1" t="s">
        <v>14</v>
      </c>
      <c r="J135">
        <v>3</v>
      </c>
      <c r="K135" t="s">
        <v>49</v>
      </c>
      <c r="L135" t="s">
        <v>58</v>
      </c>
      <c r="M135" t="s">
        <v>52</v>
      </c>
    </row>
    <row r="136" spans="1:13" x14ac:dyDescent="0.35">
      <c r="A136">
        <v>137</v>
      </c>
      <c r="B136">
        <v>62</v>
      </c>
      <c r="C136" s="1" t="s">
        <v>15</v>
      </c>
      <c r="D136" s="1" t="s">
        <v>16</v>
      </c>
      <c r="E136" s="1" t="s">
        <v>17</v>
      </c>
      <c r="F136">
        <v>2000</v>
      </c>
      <c r="G136">
        <v>12</v>
      </c>
      <c r="H136" s="1" t="s">
        <v>13</v>
      </c>
      <c r="I136" s="1" t="s">
        <v>19</v>
      </c>
      <c r="J136">
        <v>4</v>
      </c>
      <c r="K136" t="s">
        <v>55</v>
      </c>
      <c r="L136" t="s">
        <v>58</v>
      </c>
      <c r="M136" t="s">
        <v>51</v>
      </c>
    </row>
    <row r="137" spans="1:13" x14ac:dyDescent="0.35">
      <c r="A137">
        <v>138</v>
      </c>
      <c r="B137">
        <v>35</v>
      </c>
      <c r="C137" s="1" t="s">
        <v>10</v>
      </c>
      <c r="D137" s="1" t="s">
        <v>20</v>
      </c>
      <c r="E137" s="1" t="s">
        <v>21</v>
      </c>
      <c r="F137">
        <v>500</v>
      </c>
      <c r="G137">
        <v>10</v>
      </c>
      <c r="H137" s="1" t="s">
        <v>18</v>
      </c>
      <c r="I137" s="1" t="s">
        <v>14</v>
      </c>
      <c r="J137">
        <v>5</v>
      </c>
      <c r="K137" t="s">
        <v>53</v>
      </c>
      <c r="L137" t="s">
        <v>56</v>
      </c>
      <c r="M137" t="s">
        <v>51</v>
      </c>
    </row>
    <row r="138" spans="1:13" x14ac:dyDescent="0.35">
      <c r="A138">
        <v>139</v>
      </c>
      <c r="B138">
        <v>78</v>
      </c>
      <c r="C138" s="1" t="s">
        <v>15</v>
      </c>
      <c r="D138" s="1" t="s">
        <v>22</v>
      </c>
      <c r="E138" s="1" t="s">
        <v>23</v>
      </c>
      <c r="F138">
        <v>10000</v>
      </c>
      <c r="G138">
        <v>16</v>
      </c>
      <c r="H138" s="1" t="s">
        <v>13</v>
      </c>
      <c r="I138" s="1" t="s">
        <v>19</v>
      </c>
      <c r="J138">
        <v>2</v>
      </c>
      <c r="K138" t="s">
        <v>55</v>
      </c>
      <c r="L138" t="s">
        <v>58</v>
      </c>
      <c r="M138" t="s">
        <v>57</v>
      </c>
    </row>
    <row r="139" spans="1:13" x14ac:dyDescent="0.35">
      <c r="A139">
        <v>140</v>
      </c>
      <c r="B139">
        <v>53</v>
      </c>
      <c r="C139" s="1" t="s">
        <v>10</v>
      </c>
      <c r="D139" s="1" t="s">
        <v>24</v>
      </c>
      <c r="E139" s="1" t="s">
        <v>25</v>
      </c>
      <c r="F139">
        <v>25000</v>
      </c>
      <c r="G139">
        <v>19</v>
      </c>
      <c r="H139" s="1" t="s">
        <v>18</v>
      </c>
      <c r="I139" s="1" t="s">
        <v>14</v>
      </c>
      <c r="J139">
        <v>4</v>
      </c>
      <c r="K139" t="s">
        <v>49</v>
      </c>
      <c r="L139" t="s">
        <v>58</v>
      </c>
      <c r="M139" t="s">
        <v>51</v>
      </c>
    </row>
    <row r="140" spans="1:13" x14ac:dyDescent="0.35">
      <c r="A140">
        <v>141</v>
      </c>
      <c r="B140">
        <v>72</v>
      </c>
      <c r="C140" s="1" t="s">
        <v>15</v>
      </c>
      <c r="D140" s="1" t="s">
        <v>26</v>
      </c>
      <c r="E140" s="1" t="s">
        <v>27</v>
      </c>
      <c r="F140">
        <v>1000</v>
      </c>
      <c r="G140">
        <v>11</v>
      </c>
      <c r="H140" s="1" t="s">
        <v>13</v>
      </c>
      <c r="I140" s="1" t="s">
        <v>19</v>
      </c>
      <c r="J140">
        <v>4</v>
      </c>
      <c r="K140" t="s">
        <v>55</v>
      </c>
      <c r="L140" t="s">
        <v>58</v>
      </c>
      <c r="M140" t="s">
        <v>51</v>
      </c>
    </row>
    <row r="141" spans="1:13" x14ac:dyDescent="0.35">
      <c r="A141">
        <v>142</v>
      </c>
      <c r="B141">
        <v>60</v>
      </c>
      <c r="C141" s="1" t="s">
        <v>10</v>
      </c>
      <c r="D141" s="1" t="s">
        <v>28</v>
      </c>
      <c r="E141" s="1" t="s">
        <v>29</v>
      </c>
      <c r="F141">
        <v>8000</v>
      </c>
      <c r="G141">
        <v>13</v>
      </c>
      <c r="H141" s="1" t="s">
        <v>18</v>
      </c>
      <c r="I141" s="1" t="s">
        <v>14</v>
      </c>
      <c r="J141">
        <v>3</v>
      </c>
      <c r="K141" t="s">
        <v>49</v>
      </c>
      <c r="L141" t="s">
        <v>58</v>
      </c>
      <c r="M141" t="s">
        <v>52</v>
      </c>
    </row>
    <row r="142" spans="1:13" x14ac:dyDescent="0.35">
      <c r="A142">
        <v>143</v>
      </c>
      <c r="B142">
        <v>45</v>
      </c>
      <c r="C142" s="1" t="s">
        <v>15</v>
      </c>
      <c r="D142" s="1" t="s">
        <v>30</v>
      </c>
      <c r="E142" s="1" t="s">
        <v>31</v>
      </c>
      <c r="F142">
        <v>3000</v>
      </c>
      <c r="G142">
        <v>15</v>
      </c>
      <c r="H142" s="1" t="s">
        <v>13</v>
      </c>
      <c r="I142" s="1" t="s">
        <v>14</v>
      </c>
      <c r="J142">
        <v>4</v>
      </c>
      <c r="K142" t="s">
        <v>49</v>
      </c>
      <c r="L142" t="s">
        <v>58</v>
      </c>
      <c r="M142" t="s">
        <v>51</v>
      </c>
    </row>
    <row r="143" spans="1:13" x14ac:dyDescent="0.35">
      <c r="A143">
        <v>144</v>
      </c>
      <c r="B143">
        <v>75</v>
      </c>
      <c r="C143" s="1" t="s">
        <v>10</v>
      </c>
      <c r="D143" s="1" t="s">
        <v>32</v>
      </c>
      <c r="E143" s="1" t="s">
        <v>33</v>
      </c>
      <c r="F143">
        <v>18000</v>
      </c>
      <c r="G143">
        <v>17</v>
      </c>
      <c r="H143" s="1" t="s">
        <v>18</v>
      </c>
      <c r="I143" s="1" t="s">
        <v>19</v>
      </c>
      <c r="J143">
        <v>2</v>
      </c>
      <c r="K143" t="s">
        <v>55</v>
      </c>
      <c r="L143" t="s">
        <v>58</v>
      </c>
      <c r="M143" t="s">
        <v>57</v>
      </c>
    </row>
    <row r="144" spans="1:13" x14ac:dyDescent="0.35">
      <c r="A144">
        <v>145</v>
      </c>
      <c r="B144">
        <v>28</v>
      </c>
      <c r="C144" s="1" t="s">
        <v>15</v>
      </c>
      <c r="D144" s="1" t="s">
        <v>34</v>
      </c>
      <c r="E144" s="1" t="s">
        <v>35</v>
      </c>
      <c r="F144">
        <v>100</v>
      </c>
      <c r="G144">
        <v>10</v>
      </c>
      <c r="H144" s="1" t="s">
        <v>13</v>
      </c>
      <c r="I144" s="1" t="s">
        <v>14</v>
      </c>
      <c r="J144">
        <v>5</v>
      </c>
      <c r="K144" t="s">
        <v>53</v>
      </c>
      <c r="L144" t="s">
        <v>56</v>
      </c>
      <c r="M144" t="s">
        <v>51</v>
      </c>
    </row>
    <row r="145" spans="1:13" x14ac:dyDescent="0.35">
      <c r="A145">
        <v>146</v>
      </c>
      <c r="B145">
        <v>52</v>
      </c>
      <c r="C145" s="1" t="s">
        <v>10</v>
      </c>
      <c r="D145" s="1" t="s">
        <v>36</v>
      </c>
      <c r="E145" s="1" t="s">
        <v>37</v>
      </c>
      <c r="F145">
        <v>800</v>
      </c>
      <c r="G145">
        <v>11</v>
      </c>
      <c r="H145" s="1" t="s">
        <v>13</v>
      </c>
      <c r="I145" s="1" t="s">
        <v>19</v>
      </c>
      <c r="J145">
        <v>4</v>
      </c>
      <c r="K145" t="s">
        <v>49</v>
      </c>
      <c r="L145" t="s">
        <v>58</v>
      </c>
      <c r="M145" t="s">
        <v>51</v>
      </c>
    </row>
    <row r="146" spans="1:13" x14ac:dyDescent="0.35">
      <c r="A146">
        <v>147</v>
      </c>
      <c r="B146">
        <v>67</v>
      </c>
      <c r="C146" s="1" t="s">
        <v>15</v>
      </c>
      <c r="D146" s="1" t="s">
        <v>38</v>
      </c>
      <c r="E146" s="1" t="s">
        <v>39</v>
      </c>
      <c r="F146">
        <v>20000</v>
      </c>
      <c r="G146">
        <v>18</v>
      </c>
      <c r="H146" s="1" t="s">
        <v>13</v>
      </c>
      <c r="I146" s="1" t="s">
        <v>14</v>
      </c>
      <c r="J146">
        <v>3</v>
      </c>
      <c r="K146" t="s">
        <v>55</v>
      </c>
      <c r="L146" t="s">
        <v>58</v>
      </c>
      <c r="M146" t="s">
        <v>52</v>
      </c>
    </row>
    <row r="147" spans="1:13" x14ac:dyDescent="0.35">
      <c r="A147">
        <v>148</v>
      </c>
      <c r="B147">
        <v>35</v>
      </c>
      <c r="C147" s="1" t="s">
        <v>10</v>
      </c>
      <c r="D147" s="1" t="s">
        <v>40</v>
      </c>
      <c r="E147" s="1" t="s">
        <v>41</v>
      </c>
      <c r="F147">
        <v>12000</v>
      </c>
      <c r="G147">
        <v>12</v>
      </c>
      <c r="H147" s="1" t="s">
        <v>13</v>
      </c>
      <c r="I147" s="1" t="s">
        <v>14</v>
      </c>
      <c r="J147">
        <v>4</v>
      </c>
      <c r="K147" t="s">
        <v>53</v>
      </c>
      <c r="L147" t="s">
        <v>58</v>
      </c>
      <c r="M147" t="s">
        <v>51</v>
      </c>
    </row>
    <row r="148" spans="1:13" x14ac:dyDescent="0.35">
      <c r="A148">
        <v>149</v>
      </c>
      <c r="B148">
        <v>50</v>
      </c>
      <c r="C148" s="1" t="s">
        <v>15</v>
      </c>
      <c r="D148" s="1" t="s">
        <v>42</v>
      </c>
      <c r="E148" s="1" t="s">
        <v>43</v>
      </c>
      <c r="F148">
        <v>6000</v>
      </c>
      <c r="G148">
        <v>13</v>
      </c>
      <c r="H148" s="1" t="s">
        <v>13</v>
      </c>
      <c r="I148" s="1" t="s">
        <v>14</v>
      </c>
      <c r="J148">
        <v>3</v>
      </c>
      <c r="K148" t="s">
        <v>49</v>
      </c>
      <c r="L148" t="s">
        <v>58</v>
      </c>
      <c r="M148" t="s">
        <v>52</v>
      </c>
    </row>
    <row r="149" spans="1:13" x14ac:dyDescent="0.35">
      <c r="A149">
        <v>150</v>
      </c>
      <c r="B149">
        <v>60</v>
      </c>
      <c r="C149" s="1" t="s">
        <v>10</v>
      </c>
      <c r="D149" s="1" t="s">
        <v>44</v>
      </c>
      <c r="E149" s="1" t="s">
        <v>45</v>
      </c>
      <c r="F149">
        <v>4000</v>
      </c>
      <c r="G149">
        <v>14</v>
      </c>
      <c r="H149" s="1" t="s">
        <v>13</v>
      </c>
      <c r="I149" s="1" t="s">
        <v>19</v>
      </c>
      <c r="J149">
        <v>4</v>
      </c>
      <c r="K149" t="s">
        <v>49</v>
      </c>
      <c r="L149" t="s">
        <v>58</v>
      </c>
      <c r="M149" t="s">
        <v>51</v>
      </c>
    </row>
    <row r="150" spans="1:13" x14ac:dyDescent="0.35">
      <c r="A150">
        <v>151</v>
      </c>
      <c r="B150">
        <v>48</v>
      </c>
      <c r="C150" s="1" t="s">
        <v>10</v>
      </c>
      <c r="D150" s="1" t="s">
        <v>11</v>
      </c>
      <c r="E150" s="1" t="s">
        <v>12</v>
      </c>
      <c r="F150">
        <v>15000</v>
      </c>
      <c r="G150">
        <v>15</v>
      </c>
      <c r="H150" s="1" t="s">
        <v>18</v>
      </c>
      <c r="I150" s="1" t="s">
        <v>14</v>
      </c>
      <c r="J150">
        <v>4</v>
      </c>
      <c r="K150" t="s">
        <v>49</v>
      </c>
      <c r="L150" t="s">
        <v>58</v>
      </c>
      <c r="M150" t="s">
        <v>51</v>
      </c>
    </row>
    <row r="151" spans="1:13" x14ac:dyDescent="0.35">
      <c r="A151">
        <v>152</v>
      </c>
      <c r="B151">
        <v>65</v>
      </c>
      <c r="C151" s="1" t="s">
        <v>15</v>
      </c>
      <c r="D151" s="1" t="s">
        <v>16</v>
      </c>
      <c r="E151" s="1" t="s">
        <v>17</v>
      </c>
      <c r="F151">
        <v>2000</v>
      </c>
      <c r="G151">
        <v>13</v>
      </c>
      <c r="H151" s="1" t="s">
        <v>13</v>
      </c>
      <c r="I151" s="1" t="s">
        <v>19</v>
      </c>
      <c r="J151">
        <v>3</v>
      </c>
      <c r="K151" t="s">
        <v>55</v>
      </c>
      <c r="L151" t="s">
        <v>58</v>
      </c>
      <c r="M151" t="s">
        <v>52</v>
      </c>
    </row>
    <row r="152" spans="1:13" x14ac:dyDescent="0.35">
      <c r="A152">
        <v>153</v>
      </c>
      <c r="B152">
        <v>30</v>
      </c>
      <c r="C152" s="1" t="s">
        <v>10</v>
      </c>
      <c r="D152" s="1" t="s">
        <v>20</v>
      </c>
      <c r="E152" s="1" t="s">
        <v>21</v>
      </c>
      <c r="F152">
        <v>500</v>
      </c>
      <c r="G152">
        <v>11</v>
      </c>
      <c r="H152" s="1" t="s">
        <v>13</v>
      </c>
      <c r="I152" s="1" t="s">
        <v>14</v>
      </c>
      <c r="J152">
        <v>5</v>
      </c>
      <c r="K152" t="s">
        <v>53</v>
      </c>
      <c r="L152" t="s">
        <v>58</v>
      </c>
      <c r="M152" t="s">
        <v>51</v>
      </c>
    </row>
    <row r="153" spans="1:13" x14ac:dyDescent="0.35">
      <c r="A153">
        <v>154</v>
      </c>
      <c r="B153">
        <v>70</v>
      </c>
      <c r="C153" s="1" t="s">
        <v>15</v>
      </c>
      <c r="D153" s="1" t="s">
        <v>22</v>
      </c>
      <c r="E153" s="1" t="s">
        <v>23</v>
      </c>
      <c r="F153">
        <v>10000</v>
      </c>
      <c r="G153">
        <v>17</v>
      </c>
      <c r="H153" s="1" t="s">
        <v>18</v>
      </c>
      <c r="I153" s="1" t="s">
        <v>19</v>
      </c>
      <c r="J153">
        <v>2</v>
      </c>
      <c r="K153" t="s">
        <v>55</v>
      </c>
      <c r="L153" t="s">
        <v>58</v>
      </c>
      <c r="M153" t="s">
        <v>57</v>
      </c>
    </row>
    <row r="154" spans="1:13" x14ac:dyDescent="0.35">
      <c r="A154">
        <v>155</v>
      </c>
      <c r="B154">
        <v>55</v>
      </c>
      <c r="C154" s="1" t="s">
        <v>10</v>
      </c>
      <c r="D154" s="1" t="s">
        <v>24</v>
      </c>
      <c r="E154" s="1" t="s">
        <v>25</v>
      </c>
      <c r="F154">
        <v>25000</v>
      </c>
      <c r="G154">
        <v>20</v>
      </c>
      <c r="H154" s="1" t="s">
        <v>13</v>
      </c>
      <c r="I154" s="1" t="s">
        <v>14</v>
      </c>
      <c r="J154">
        <v>4</v>
      </c>
      <c r="K154" t="s">
        <v>49</v>
      </c>
      <c r="L154" t="s">
        <v>58</v>
      </c>
      <c r="M154" t="s">
        <v>51</v>
      </c>
    </row>
    <row r="155" spans="1:13" x14ac:dyDescent="0.35">
      <c r="A155">
        <v>156</v>
      </c>
      <c r="B155">
        <v>68</v>
      </c>
      <c r="C155" s="1" t="s">
        <v>15</v>
      </c>
      <c r="D155" s="1" t="s">
        <v>26</v>
      </c>
      <c r="E155" s="1" t="s">
        <v>27</v>
      </c>
      <c r="F155">
        <v>1000</v>
      </c>
      <c r="G155">
        <v>12</v>
      </c>
      <c r="H155" s="1" t="s">
        <v>13</v>
      </c>
      <c r="I155" s="1" t="s">
        <v>19</v>
      </c>
      <c r="J155">
        <v>4</v>
      </c>
      <c r="K155" t="s">
        <v>55</v>
      </c>
      <c r="L155" t="s">
        <v>58</v>
      </c>
      <c r="M155" t="s">
        <v>51</v>
      </c>
    </row>
    <row r="156" spans="1:13" x14ac:dyDescent="0.35">
      <c r="A156">
        <v>157</v>
      </c>
      <c r="B156">
        <v>45</v>
      </c>
      <c r="C156" s="1" t="s">
        <v>10</v>
      </c>
      <c r="D156" s="1" t="s">
        <v>28</v>
      </c>
      <c r="E156" s="1" t="s">
        <v>29</v>
      </c>
      <c r="F156">
        <v>8000</v>
      </c>
      <c r="G156">
        <v>14</v>
      </c>
      <c r="H156" s="1" t="s">
        <v>13</v>
      </c>
      <c r="I156" s="1" t="s">
        <v>14</v>
      </c>
      <c r="J156">
        <v>3</v>
      </c>
      <c r="K156" t="s">
        <v>49</v>
      </c>
      <c r="L156" t="s">
        <v>58</v>
      </c>
      <c r="M156" t="s">
        <v>52</v>
      </c>
    </row>
    <row r="157" spans="1:13" x14ac:dyDescent="0.35">
      <c r="A157">
        <v>158</v>
      </c>
      <c r="B157">
        <v>40</v>
      </c>
      <c r="C157" s="1" t="s">
        <v>15</v>
      </c>
      <c r="D157" s="1" t="s">
        <v>30</v>
      </c>
      <c r="E157" s="1" t="s">
        <v>31</v>
      </c>
      <c r="F157">
        <v>3000</v>
      </c>
      <c r="G157">
        <v>16</v>
      </c>
      <c r="H157" s="1" t="s">
        <v>13</v>
      </c>
      <c r="I157" s="1" t="s">
        <v>14</v>
      </c>
      <c r="J157">
        <v>4</v>
      </c>
      <c r="K157" t="s">
        <v>49</v>
      </c>
      <c r="L157" t="s">
        <v>58</v>
      </c>
      <c r="M157" t="s">
        <v>51</v>
      </c>
    </row>
    <row r="158" spans="1:13" x14ac:dyDescent="0.35">
      <c r="A158">
        <v>159</v>
      </c>
      <c r="B158">
        <v>78</v>
      </c>
      <c r="C158" s="1" t="s">
        <v>10</v>
      </c>
      <c r="D158" s="1" t="s">
        <v>32</v>
      </c>
      <c r="E158" s="1" t="s">
        <v>33</v>
      </c>
      <c r="F158">
        <v>18000</v>
      </c>
      <c r="G158">
        <v>18</v>
      </c>
      <c r="H158" s="1" t="s">
        <v>18</v>
      </c>
      <c r="I158" s="1" t="s">
        <v>19</v>
      </c>
      <c r="J158">
        <v>2</v>
      </c>
      <c r="K158" t="s">
        <v>55</v>
      </c>
      <c r="L158" t="s">
        <v>58</v>
      </c>
      <c r="M158" t="s">
        <v>57</v>
      </c>
    </row>
    <row r="159" spans="1:13" x14ac:dyDescent="0.35">
      <c r="A159">
        <v>160</v>
      </c>
      <c r="B159">
        <v>25</v>
      </c>
      <c r="C159" s="1" t="s">
        <v>15</v>
      </c>
      <c r="D159" s="1" t="s">
        <v>34</v>
      </c>
      <c r="E159" s="1" t="s">
        <v>35</v>
      </c>
      <c r="F159">
        <v>100</v>
      </c>
      <c r="G159">
        <v>11</v>
      </c>
      <c r="H159" s="1" t="s">
        <v>13</v>
      </c>
      <c r="I159" s="1" t="s">
        <v>14</v>
      </c>
      <c r="J159">
        <v>5</v>
      </c>
      <c r="K159" t="s">
        <v>53</v>
      </c>
      <c r="L159" t="s">
        <v>58</v>
      </c>
      <c r="M159" t="s">
        <v>51</v>
      </c>
    </row>
    <row r="160" spans="1:13" x14ac:dyDescent="0.35">
      <c r="A160">
        <v>161</v>
      </c>
      <c r="B160">
        <v>52</v>
      </c>
      <c r="C160" s="1" t="s">
        <v>10</v>
      </c>
      <c r="D160" s="1" t="s">
        <v>36</v>
      </c>
      <c r="E160" s="1" t="s">
        <v>37</v>
      </c>
      <c r="F160">
        <v>800</v>
      </c>
      <c r="G160">
        <v>12</v>
      </c>
      <c r="H160" s="1" t="s">
        <v>13</v>
      </c>
      <c r="I160" s="1" t="s">
        <v>19</v>
      </c>
      <c r="J160">
        <v>4</v>
      </c>
      <c r="K160" t="s">
        <v>49</v>
      </c>
      <c r="L160" t="s">
        <v>58</v>
      </c>
      <c r="M160" t="s">
        <v>51</v>
      </c>
    </row>
    <row r="161" spans="1:13" x14ac:dyDescent="0.35">
      <c r="A161">
        <v>162</v>
      </c>
      <c r="B161">
        <v>58</v>
      </c>
      <c r="C161" s="1" t="s">
        <v>15</v>
      </c>
      <c r="D161" s="1" t="s">
        <v>38</v>
      </c>
      <c r="E161" s="1" t="s">
        <v>39</v>
      </c>
      <c r="F161">
        <v>20000</v>
      </c>
      <c r="G161">
        <v>19</v>
      </c>
      <c r="H161" s="1" t="s">
        <v>13</v>
      </c>
      <c r="I161" s="1" t="s">
        <v>14</v>
      </c>
      <c r="J161">
        <v>3</v>
      </c>
      <c r="K161" t="s">
        <v>49</v>
      </c>
      <c r="L161" t="s">
        <v>58</v>
      </c>
      <c r="M161" t="s">
        <v>52</v>
      </c>
    </row>
    <row r="162" spans="1:13" x14ac:dyDescent="0.35">
      <c r="A162">
        <v>163</v>
      </c>
      <c r="B162">
        <v>32</v>
      </c>
      <c r="C162" s="1" t="s">
        <v>10</v>
      </c>
      <c r="D162" s="1" t="s">
        <v>40</v>
      </c>
      <c r="E162" s="1" t="s">
        <v>41</v>
      </c>
      <c r="F162">
        <v>12000</v>
      </c>
      <c r="G162">
        <v>13</v>
      </c>
      <c r="H162" s="1" t="s">
        <v>13</v>
      </c>
      <c r="I162" s="1" t="s">
        <v>14</v>
      </c>
      <c r="J162">
        <v>4</v>
      </c>
      <c r="K162" t="s">
        <v>53</v>
      </c>
      <c r="L162" t="s">
        <v>58</v>
      </c>
      <c r="M162" t="s">
        <v>51</v>
      </c>
    </row>
    <row r="163" spans="1:13" x14ac:dyDescent="0.35">
      <c r="A163">
        <v>164</v>
      </c>
      <c r="B163">
        <v>55</v>
      </c>
      <c r="C163" s="1" t="s">
        <v>15</v>
      </c>
      <c r="D163" s="1" t="s">
        <v>42</v>
      </c>
      <c r="E163" s="1" t="s">
        <v>43</v>
      </c>
      <c r="F163">
        <v>6000</v>
      </c>
      <c r="G163">
        <v>14</v>
      </c>
      <c r="H163" s="1" t="s">
        <v>13</v>
      </c>
      <c r="I163" s="1" t="s">
        <v>14</v>
      </c>
      <c r="J163">
        <v>3</v>
      </c>
      <c r="K163" t="s">
        <v>49</v>
      </c>
      <c r="L163" t="s">
        <v>58</v>
      </c>
      <c r="M163" t="s">
        <v>52</v>
      </c>
    </row>
    <row r="164" spans="1:13" x14ac:dyDescent="0.35">
      <c r="A164">
        <v>165</v>
      </c>
      <c r="B164">
        <v>65</v>
      </c>
      <c r="C164" s="1" t="s">
        <v>10</v>
      </c>
      <c r="D164" s="1" t="s">
        <v>44</v>
      </c>
      <c r="E164" s="1" t="s">
        <v>45</v>
      </c>
      <c r="F164">
        <v>4000</v>
      </c>
      <c r="G164">
        <v>15</v>
      </c>
      <c r="H164" s="1" t="s">
        <v>13</v>
      </c>
      <c r="I164" s="1" t="s">
        <v>19</v>
      </c>
      <c r="J164">
        <v>4</v>
      </c>
      <c r="K164" t="s">
        <v>55</v>
      </c>
      <c r="L164" t="s">
        <v>58</v>
      </c>
      <c r="M164" t="s">
        <v>51</v>
      </c>
    </row>
    <row r="165" spans="1:13" x14ac:dyDescent="0.35">
      <c r="A165">
        <v>166</v>
      </c>
      <c r="B165">
        <v>55</v>
      </c>
      <c r="C165" s="1" t="s">
        <v>10</v>
      </c>
      <c r="D165" s="1" t="s">
        <v>11</v>
      </c>
      <c r="E165" s="1" t="s">
        <v>12</v>
      </c>
      <c r="F165">
        <v>15000</v>
      </c>
      <c r="G165">
        <v>16</v>
      </c>
      <c r="H165" s="1" t="s">
        <v>18</v>
      </c>
      <c r="I165" s="1" t="s">
        <v>14</v>
      </c>
      <c r="J165">
        <v>3</v>
      </c>
      <c r="K165" t="s">
        <v>49</v>
      </c>
      <c r="L165" t="s">
        <v>58</v>
      </c>
      <c r="M165" t="s">
        <v>52</v>
      </c>
    </row>
    <row r="166" spans="1:13" x14ac:dyDescent="0.35">
      <c r="A166">
        <v>167</v>
      </c>
      <c r="B166">
        <v>62</v>
      </c>
      <c r="C166" s="1" t="s">
        <v>15</v>
      </c>
      <c r="D166" s="1" t="s">
        <v>16</v>
      </c>
      <c r="E166" s="1" t="s">
        <v>17</v>
      </c>
      <c r="F166">
        <v>2000</v>
      </c>
      <c r="G166">
        <v>14</v>
      </c>
      <c r="H166" s="1" t="s">
        <v>13</v>
      </c>
      <c r="I166" s="1" t="s">
        <v>19</v>
      </c>
      <c r="J166">
        <v>4</v>
      </c>
      <c r="K166" t="s">
        <v>55</v>
      </c>
      <c r="L166" t="s">
        <v>58</v>
      </c>
      <c r="M166" t="s">
        <v>51</v>
      </c>
    </row>
    <row r="167" spans="1:13" x14ac:dyDescent="0.35">
      <c r="A167">
        <v>168</v>
      </c>
      <c r="B167">
        <v>35</v>
      </c>
      <c r="C167" s="1" t="s">
        <v>10</v>
      </c>
      <c r="D167" s="1" t="s">
        <v>20</v>
      </c>
      <c r="E167" s="1" t="s">
        <v>21</v>
      </c>
      <c r="F167">
        <v>500</v>
      </c>
      <c r="G167">
        <v>12</v>
      </c>
      <c r="H167" s="1" t="s">
        <v>18</v>
      </c>
      <c r="I167" s="1" t="s">
        <v>14</v>
      </c>
      <c r="J167">
        <v>5</v>
      </c>
      <c r="K167" t="s">
        <v>53</v>
      </c>
      <c r="L167" t="s">
        <v>58</v>
      </c>
      <c r="M167" t="s">
        <v>51</v>
      </c>
    </row>
    <row r="168" spans="1:13" x14ac:dyDescent="0.35">
      <c r="A168">
        <v>169</v>
      </c>
      <c r="B168">
        <v>78</v>
      </c>
      <c r="C168" s="1" t="s">
        <v>15</v>
      </c>
      <c r="D168" s="1" t="s">
        <v>22</v>
      </c>
      <c r="E168" s="1" t="s">
        <v>23</v>
      </c>
      <c r="F168">
        <v>10000</v>
      </c>
      <c r="G168">
        <v>18</v>
      </c>
      <c r="H168" s="1" t="s">
        <v>13</v>
      </c>
      <c r="I168" s="1" t="s">
        <v>19</v>
      </c>
      <c r="J168">
        <v>2</v>
      </c>
      <c r="K168" t="s">
        <v>55</v>
      </c>
      <c r="L168" t="s">
        <v>58</v>
      </c>
      <c r="M168" t="s">
        <v>57</v>
      </c>
    </row>
    <row r="169" spans="1:13" x14ac:dyDescent="0.35">
      <c r="A169">
        <v>170</v>
      </c>
      <c r="B169">
        <v>53</v>
      </c>
      <c r="C169" s="1" t="s">
        <v>10</v>
      </c>
      <c r="D169" s="1" t="s">
        <v>24</v>
      </c>
      <c r="E169" s="1" t="s">
        <v>25</v>
      </c>
      <c r="F169">
        <v>25000</v>
      </c>
      <c r="G169">
        <v>21</v>
      </c>
      <c r="H169" s="1" t="s">
        <v>18</v>
      </c>
      <c r="I169" s="1" t="s">
        <v>14</v>
      </c>
      <c r="J169">
        <v>4</v>
      </c>
      <c r="K169" t="s">
        <v>49</v>
      </c>
      <c r="L169" t="s">
        <v>58</v>
      </c>
      <c r="M169" t="s">
        <v>51</v>
      </c>
    </row>
    <row r="170" spans="1:13" x14ac:dyDescent="0.35">
      <c r="A170">
        <v>171</v>
      </c>
      <c r="B170">
        <v>72</v>
      </c>
      <c r="C170" s="1" t="s">
        <v>15</v>
      </c>
      <c r="D170" s="1" t="s">
        <v>26</v>
      </c>
      <c r="E170" s="1" t="s">
        <v>27</v>
      </c>
      <c r="F170">
        <v>1000</v>
      </c>
      <c r="G170">
        <v>13</v>
      </c>
      <c r="H170" s="1" t="s">
        <v>13</v>
      </c>
      <c r="I170" s="1" t="s">
        <v>19</v>
      </c>
      <c r="J170">
        <v>4</v>
      </c>
      <c r="K170" t="s">
        <v>55</v>
      </c>
      <c r="L170" t="s">
        <v>58</v>
      </c>
      <c r="M170" t="s">
        <v>51</v>
      </c>
    </row>
    <row r="171" spans="1:13" x14ac:dyDescent="0.35">
      <c r="A171">
        <v>172</v>
      </c>
      <c r="B171">
        <v>60</v>
      </c>
      <c r="C171" s="1" t="s">
        <v>10</v>
      </c>
      <c r="D171" s="1" t="s">
        <v>28</v>
      </c>
      <c r="E171" s="1" t="s">
        <v>29</v>
      </c>
      <c r="F171">
        <v>8000</v>
      </c>
      <c r="G171">
        <v>15</v>
      </c>
      <c r="H171" s="1" t="s">
        <v>18</v>
      </c>
      <c r="I171" s="1" t="s">
        <v>14</v>
      </c>
      <c r="J171">
        <v>3</v>
      </c>
      <c r="K171" t="s">
        <v>49</v>
      </c>
      <c r="L171" t="s">
        <v>58</v>
      </c>
      <c r="M171" t="s">
        <v>52</v>
      </c>
    </row>
    <row r="172" spans="1:13" x14ac:dyDescent="0.35">
      <c r="A172">
        <v>173</v>
      </c>
      <c r="B172">
        <v>45</v>
      </c>
      <c r="C172" s="1" t="s">
        <v>15</v>
      </c>
      <c r="D172" s="1" t="s">
        <v>30</v>
      </c>
      <c r="E172" s="1" t="s">
        <v>31</v>
      </c>
      <c r="F172">
        <v>3000</v>
      </c>
      <c r="G172">
        <v>17</v>
      </c>
      <c r="H172" s="1" t="s">
        <v>13</v>
      </c>
      <c r="I172" s="1" t="s">
        <v>14</v>
      </c>
      <c r="J172">
        <v>4</v>
      </c>
      <c r="K172" t="s">
        <v>49</v>
      </c>
      <c r="L172" t="s">
        <v>58</v>
      </c>
      <c r="M172" t="s">
        <v>51</v>
      </c>
    </row>
    <row r="173" spans="1:13" x14ac:dyDescent="0.35">
      <c r="A173">
        <v>174</v>
      </c>
      <c r="B173">
        <v>75</v>
      </c>
      <c r="C173" s="1" t="s">
        <v>10</v>
      </c>
      <c r="D173" s="1" t="s">
        <v>32</v>
      </c>
      <c r="E173" s="1" t="s">
        <v>33</v>
      </c>
      <c r="F173">
        <v>18000</v>
      </c>
      <c r="G173">
        <v>19</v>
      </c>
      <c r="H173" s="1" t="s">
        <v>18</v>
      </c>
      <c r="I173" s="1" t="s">
        <v>19</v>
      </c>
      <c r="J173">
        <v>2</v>
      </c>
      <c r="K173" t="s">
        <v>55</v>
      </c>
      <c r="L173" t="s">
        <v>58</v>
      </c>
      <c r="M173" t="s">
        <v>57</v>
      </c>
    </row>
    <row r="174" spans="1:13" x14ac:dyDescent="0.35">
      <c r="A174">
        <v>175</v>
      </c>
      <c r="B174">
        <v>28</v>
      </c>
      <c r="C174" s="1" t="s">
        <v>15</v>
      </c>
      <c r="D174" s="1" t="s">
        <v>34</v>
      </c>
      <c r="E174" s="1" t="s">
        <v>35</v>
      </c>
      <c r="F174">
        <v>100</v>
      </c>
      <c r="G174">
        <v>12</v>
      </c>
      <c r="H174" s="1" t="s">
        <v>13</v>
      </c>
      <c r="I174" s="1" t="s">
        <v>14</v>
      </c>
      <c r="J174">
        <v>5</v>
      </c>
      <c r="K174" t="s">
        <v>53</v>
      </c>
      <c r="L174" t="s">
        <v>58</v>
      </c>
      <c r="M174" t="s">
        <v>51</v>
      </c>
    </row>
    <row r="175" spans="1:13" x14ac:dyDescent="0.35">
      <c r="A175">
        <v>176</v>
      </c>
      <c r="B175">
        <v>52</v>
      </c>
      <c r="C175" s="1" t="s">
        <v>10</v>
      </c>
      <c r="D175" s="1" t="s">
        <v>36</v>
      </c>
      <c r="E175" s="1" t="s">
        <v>37</v>
      </c>
      <c r="F175">
        <v>800</v>
      </c>
      <c r="G175">
        <v>13</v>
      </c>
      <c r="H175" s="1" t="s">
        <v>13</v>
      </c>
      <c r="I175" s="1" t="s">
        <v>19</v>
      </c>
      <c r="J175">
        <v>4</v>
      </c>
      <c r="K175" t="s">
        <v>49</v>
      </c>
      <c r="L175" t="s">
        <v>58</v>
      </c>
      <c r="M175" t="s">
        <v>51</v>
      </c>
    </row>
    <row r="176" spans="1:13" x14ac:dyDescent="0.35">
      <c r="A176">
        <v>177</v>
      </c>
      <c r="B176">
        <v>67</v>
      </c>
      <c r="C176" s="1" t="s">
        <v>15</v>
      </c>
      <c r="D176" s="1" t="s">
        <v>38</v>
      </c>
      <c r="E176" s="1" t="s">
        <v>39</v>
      </c>
      <c r="F176">
        <v>20000</v>
      </c>
      <c r="G176">
        <v>20</v>
      </c>
      <c r="H176" s="1" t="s">
        <v>13</v>
      </c>
      <c r="I176" s="1" t="s">
        <v>14</v>
      </c>
      <c r="J176">
        <v>3</v>
      </c>
      <c r="K176" t="s">
        <v>55</v>
      </c>
      <c r="L176" t="s">
        <v>58</v>
      </c>
      <c r="M176" t="s">
        <v>52</v>
      </c>
    </row>
    <row r="177" spans="1:13" x14ac:dyDescent="0.35">
      <c r="A177">
        <v>178</v>
      </c>
      <c r="B177">
        <v>35</v>
      </c>
      <c r="C177" s="1" t="s">
        <v>10</v>
      </c>
      <c r="D177" s="1" t="s">
        <v>40</v>
      </c>
      <c r="E177" s="1" t="s">
        <v>41</v>
      </c>
      <c r="F177">
        <v>12000</v>
      </c>
      <c r="G177">
        <v>14</v>
      </c>
      <c r="H177" s="1" t="s">
        <v>13</v>
      </c>
      <c r="I177" s="1" t="s">
        <v>14</v>
      </c>
      <c r="J177">
        <v>4</v>
      </c>
      <c r="K177" t="s">
        <v>53</v>
      </c>
      <c r="L177" t="s">
        <v>58</v>
      </c>
      <c r="M177" t="s">
        <v>51</v>
      </c>
    </row>
    <row r="178" spans="1:13" x14ac:dyDescent="0.35">
      <c r="A178">
        <v>179</v>
      </c>
      <c r="B178">
        <v>50</v>
      </c>
      <c r="C178" s="1" t="s">
        <v>15</v>
      </c>
      <c r="D178" s="1" t="s">
        <v>42</v>
      </c>
      <c r="E178" s="1" t="s">
        <v>43</v>
      </c>
      <c r="F178">
        <v>6000</v>
      </c>
      <c r="G178">
        <v>15</v>
      </c>
      <c r="H178" s="1" t="s">
        <v>13</v>
      </c>
      <c r="I178" s="1" t="s">
        <v>14</v>
      </c>
      <c r="J178">
        <v>3</v>
      </c>
      <c r="K178" t="s">
        <v>49</v>
      </c>
      <c r="L178" t="s">
        <v>58</v>
      </c>
      <c r="M178" t="s">
        <v>52</v>
      </c>
    </row>
    <row r="179" spans="1:13" x14ac:dyDescent="0.35">
      <c r="A179">
        <v>180</v>
      </c>
      <c r="B179">
        <v>60</v>
      </c>
      <c r="C179" s="1" t="s">
        <v>10</v>
      </c>
      <c r="D179" s="1" t="s">
        <v>44</v>
      </c>
      <c r="E179" s="1" t="s">
        <v>45</v>
      </c>
      <c r="F179">
        <v>4000</v>
      </c>
      <c r="G179">
        <v>16</v>
      </c>
      <c r="H179" s="1" t="s">
        <v>13</v>
      </c>
      <c r="I179" s="1" t="s">
        <v>19</v>
      </c>
      <c r="J179">
        <v>4</v>
      </c>
      <c r="K179" t="s">
        <v>49</v>
      </c>
      <c r="L179" t="s">
        <v>58</v>
      </c>
      <c r="M179" t="s">
        <v>51</v>
      </c>
    </row>
    <row r="180" spans="1:13" x14ac:dyDescent="0.35">
      <c r="A180">
        <v>181</v>
      </c>
      <c r="B180">
        <v>48</v>
      </c>
      <c r="C180" s="1" t="s">
        <v>10</v>
      </c>
      <c r="D180" s="1" t="s">
        <v>11</v>
      </c>
      <c r="E180" s="1" t="s">
        <v>12</v>
      </c>
      <c r="F180">
        <v>15000</v>
      </c>
      <c r="G180">
        <v>17</v>
      </c>
      <c r="H180" s="1" t="s">
        <v>18</v>
      </c>
      <c r="I180" s="1" t="s">
        <v>14</v>
      </c>
      <c r="J180">
        <v>4</v>
      </c>
      <c r="K180" t="s">
        <v>49</v>
      </c>
      <c r="L180" t="s">
        <v>58</v>
      </c>
      <c r="M180" t="s">
        <v>51</v>
      </c>
    </row>
    <row r="181" spans="1:13" x14ac:dyDescent="0.35">
      <c r="A181">
        <v>183</v>
      </c>
      <c r="B181">
        <v>30</v>
      </c>
      <c r="C181" s="1" t="s">
        <v>10</v>
      </c>
      <c r="D181" s="1" t="s">
        <v>20</v>
      </c>
      <c r="E181" s="1" t="s">
        <v>21</v>
      </c>
      <c r="F181">
        <v>500</v>
      </c>
      <c r="G181">
        <v>13</v>
      </c>
      <c r="H181" s="1" t="s">
        <v>13</v>
      </c>
      <c r="I181" s="1" t="s">
        <v>14</v>
      </c>
      <c r="J181">
        <v>5</v>
      </c>
      <c r="K181" t="s">
        <v>53</v>
      </c>
      <c r="L181" t="s">
        <v>58</v>
      </c>
      <c r="M181" t="s">
        <v>51</v>
      </c>
    </row>
    <row r="182" spans="1:13" x14ac:dyDescent="0.35">
      <c r="A182">
        <v>184</v>
      </c>
      <c r="B182">
        <v>70</v>
      </c>
      <c r="C182" s="1" t="s">
        <v>15</v>
      </c>
      <c r="D182" s="1" t="s">
        <v>22</v>
      </c>
      <c r="E182" s="1" t="s">
        <v>23</v>
      </c>
      <c r="F182">
        <v>10000</v>
      </c>
      <c r="G182">
        <v>19</v>
      </c>
      <c r="H182" s="1" t="s">
        <v>18</v>
      </c>
      <c r="I182" s="1" t="s">
        <v>19</v>
      </c>
      <c r="J182">
        <v>2</v>
      </c>
      <c r="K182" t="s">
        <v>55</v>
      </c>
      <c r="L182" t="s">
        <v>58</v>
      </c>
      <c r="M182" t="s">
        <v>57</v>
      </c>
    </row>
    <row r="183" spans="1:13" x14ac:dyDescent="0.35">
      <c r="A183">
        <v>185</v>
      </c>
      <c r="B183">
        <v>55</v>
      </c>
      <c r="C183" s="1" t="s">
        <v>10</v>
      </c>
      <c r="D183" s="1" t="s">
        <v>24</v>
      </c>
      <c r="E183" s="1" t="s">
        <v>25</v>
      </c>
      <c r="F183">
        <v>25000</v>
      </c>
      <c r="G183">
        <v>22</v>
      </c>
      <c r="H183" s="1" t="s">
        <v>13</v>
      </c>
      <c r="I183" s="1" t="s">
        <v>14</v>
      </c>
      <c r="J183">
        <v>4</v>
      </c>
      <c r="K183" t="s">
        <v>49</v>
      </c>
      <c r="L183" t="s">
        <v>58</v>
      </c>
      <c r="M183" t="s">
        <v>51</v>
      </c>
    </row>
    <row r="184" spans="1:13" x14ac:dyDescent="0.35">
      <c r="A184">
        <v>186</v>
      </c>
      <c r="B184">
        <v>68</v>
      </c>
      <c r="C184" s="1" t="s">
        <v>15</v>
      </c>
      <c r="D184" s="1" t="s">
        <v>26</v>
      </c>
      <c r="E184" s="1" t="s">
        <v>27</v>
      </c>
      <c r="F184">
        <v>1000</v>
      </c>
      <c r="G184">
        <v>14</v>
      </c>
      <c r="H184" s="1" t="s">
        <v>13</v>
      </c>
      <c r="I184" s="1" t="s">
        <v>19</v>
      </c>
      <c r="J184">
        <v>4</v>
      </c>
      <c r="K184" t="s">
        <v>55</v>
      </c>
      <c r="L184" t="s">
        <v>58</v>
      </c>
      <c r="M184" t="s">
        <v>51</v>
      </c>
    </row>
    <row r="185" spans="1:13" x14ac:dyDescent="0.35">
      <c r="A185">
        <v>187</v>
      </c>
      <c r="B185">
        <v>45</v>
      </c>
      <c r="C185" s="1" t="s">
        <v>10</v>
      </c>
      <c r="D185" s="1" t="s">
        <v>28</v>
      </c>
      <c r="E185" s="1" t="s">
        <v>29</v>
      </c>
      <c r="F185">
        <v>8000</v>
      </c>
      <c r="G185">
        <v>16</v>
      </c>
      <c r="H185" s="1" t="s">
        <v>13</v>
      </c>
      <c r="I185" s="1" t="s">
        <v>14</v>
      </c>
      <c r="J185">
        <v>3</v>
      </c>
      <c r="K185" t="s">
        <v>49</v>
      </c>
      <c r="L185" t="s">
        <v>58</v>
      </c>
      <c r="M185" t="s">
        <v>52</v>
      </c>
    </row>
    <row r="186" spans="1:13" x14ac:dyDescent="0.35">
      <c r="A186">
        <v>188</v>
      </c>
      <c r="B186">
        <v>40</v>
      </c>
      <c r="C186" s="1" t="s">
        <v>15</v>
      </c>
      <c r="D186" s="1" t="s">
        <v>30</v>
      </c>
      <c r="E186" s="1" t="s">
        <v>31</v>
      </c>
      <c r="F186">
        <v>3000</v>
      </c>
      <c r="G186">
        <v>18</v>
      </c>
      <c r="H186" s="1" t="s">
        <v>13</v>
      </c>
      <c r="I186" s="1" t="s">
        <v>14</v>
      </c>
      <c r="J186">
        <v>4</v>
      </c>
      <c r="K186" t="s">
        <v>49</v>
      </c>
      <c r="L186" t="s">
        <v>58</v>
      </c>
      <c r="M186" t="s">
        <v>51</v>
      </c>
    </row>
    <row r="187" spans="1:13" x14ac:dyDescent="0.35">
      <c r="A187">
        <v>189</v>
      </c>
      <c r="B187">
        <v>78</v>
      </c>
      <c r="C187" s="1" t="s">
        <v>10</v>
      </c>
      <c r="D187" s="1" t="s">
        <v>32</v>
      </c>
      <c r="E187" s="1" t="s">
        <v>33</v>
      </c>
      <c r="F187">
        <v>18000</v>
      </c>
      <c r="G187">
        <v>20</v>
      </c>
      <c r="H187" s="1" t="s">
        <v>18</v>
      </c>
      <c r="I187" s="1" t="s">
        <v>19</v>
      </c>
      <c r="J187">
        <v>2</v>
      </c>
      <c r="K187" t="s">
        <v>55</v>
      </c>
      <c r="L187" t="s">
        <v>58</v>
      </c>
      <c r="M187" t="s">
        <v>57</v>
      </c>
    </row>
    <row r="188" spans="1:13" x14ac:dyDescent="0.35">
      <c r="A188">
        <v>190</v>
      </c>
      <c r="B188">
        <v>25</v>
      </c>
      <c r="C188" s="1" t="s">
        <v>15</v>
      </c>
      <c r="D188" s="1" t="s">
        <v>34</v>
      </c>
      <c r="E188" s="1" t="s">
        <v>35</v>
      </c>
      <c r="F188">
        <v>100</v>
      </c>
      <c r="G188">
        <v>13</v>
      </c>
      <c r="H188" s="1" t="s">
        <v>13</v>
      </c>
      <c r="I188" s="1" t="s">
        <v>14</v>
      </c>
      <c r="J188">
        <v>5</v>
      </c>
      <c r="K188" t="s">
        <v>53</v>
      </c>
      <c r="L188" t="s">
        <v>58</v>
      </c>
      <c r="M188" t="s">
        <v>51</v>
      </c>
    </row>
    <row r="189" spans="1:13" x14ac:dyDescent="0.35">
      <c r="A189">
        <v>191</v>
      </c>
      <c r="B189">
        <v>52</v>
      </c>
      <c r="C189" s="1" t="s">
        <v>10</v>
      </c>
      <c r="D189" s="1" t="s">
        <v>36</v>
      </c>
      <c r="E189" s="1" t="s">
        <v>37</v>
      </c>
      <c r="F189">
        <v>800</v>
      </c>
      <c r="G189">
        <v>14</v>
      </c>
      <c r="H189" s="1" t="s">
        <v>13</v>
      </c>
      <c r="I189" s="1" t="s">
        <v>19</v>
      </c>
      <c r="J189">
        <v>4</v>
      </c>
      <c r="K189" t="s">
        <v>49</v>
      </c>
      <c r="L189" t="s">
        <v>58</v>
      </c>
      <c r="M189" t="s">
        <v>51</v>
      </c>
    </row>
    <row r="190" spans="1:13" x14ac:dyDescent="0.35">
      <c r="A190">
        <v>192</v>
      </c>
      <c r="B190">
        <v>58</v>
      </c>
      <c r="C190" s="1" t="s">
        <v>15</v>
      </c>
      <c r="D190" s="1" t="s">
        <v>38</v>
      </c>
      <c r="E190" s="1" t="s">
        <v>39</v>
      </c>
      <c r="F190">
        <v>20000</v>
      </c>
      <c r="G190">
        <v>21</v>
      </c>
      <c r="H190" s="1" t="s">
        <v>13</v>
      </c>
      <c r="I190" s="1" t="s">
        <v>14</v>
      </c>
      <c r="J190">
        <v>3</v>
      </c>
      <c r="K190" t="s">
        <v>49</v>
      </c>
      <c r="L190" t="s">
        <v>58</v>
      </c>
      <c r="M190" t="s">
        <v>52</v>
      </c>
    </row>
    <row r="191" spans="1:13" x14ac:dyDescent="0.35">
      <c r="A191">
        <v>193</v>
      </c>
      <c r="B191">
        <v>32</v>
      </c>
      <c r="C191" s="1" t="s">
        <v>10</v>
      </c>
      <c r="D191" s="1" t="s">
        <v>40</v>
      </c>
      <c r="E191" s="1" t="s">
        <v>41</v>
      </c>
      <c r="F191">
        <v>12000</v>
      </c>
      <c r="G191">
        <v>15</v>
      </c>
      <c r="H191" s="1" t="s">
        <v>13</v>
      </c>
      <c r="I191" s="1" t="s">
        <v>14</v>
      </c>
      <c r="J191">
        <v>4</v>
      </c>
      <c r="K191" t="s">
        <v>53</v>
      </c>
      <c r="L191" t="s">
        <v>58</v>
      </c>
      <c r="M191" t="s">
        <v>51</v>
      </c>
    </row>
    <row r="192" spans="1:13" x14ac:dyDescent="0.35">
      <c r="A192">
        <v>194</v>
      </c>
      <c r="B192">
        <v>55</v>
      </c>
      <c r="C192" s="1" t="s">
        <v>15</v>
      </c>
      <c r="D192" s="1" t="s">
        <v>42</v>
      </c>
      <c r="E192" s="1" t="s">
        <v>43</v>
      </c>
      <c r="F192">
        <v>6000</v>
      </c>
      <c r="G192">
        <v>16</v>
      </c>
      <c r="H192" s="1" t="s">
        <v>13</v>
      </c>
      <c r="I192" s="1" t="s">
        <v>14</v>
      </c>
      <c r="J192">
        <v>3</v>
      </c>
      <c r="K192" t="s">
        <v>49</v>
      </c>
      <c r="L192" t="s">
        <v>58</v>
      </c>
      <c r="M192" t="s">
        <v>52</v>
      </c>
    </row>
    <row r="193" spans="1:13" x14ac:dyDescent="0.35">
      <c r="A193">
        <v>195</v>
      </c>
      <c r="B193">
        <v>65</v>
      </c>
      <c r="C193" s="1" t="s">
        <v>10</v>
      </c>
      <c r="D193" s="1" t="s">
        <v>44</v>
      </c>
      <c r="E193" s="1" t="s">
        <v>45</v>
      </c>
      <c r="F193">
        <v>4000</v>
      </c>
      <c r="G193">
        <v>17</v>
      </c>
      <c r="H193" s="1" t="s">
        <v>13</v>
      </c>
      <c r="I193" s="1" t="s">
        <v>19</v>
      </c>
      <c r="J193">
        <v>4</v>
      </c>
      <c r="K193" t="s">
        <v>55</v>
      </c>
      <c r="L193" t="s">
        <v>58</v>
      </c>
      <c r="M193" t="s">
        <v>51</v>
      </c>
    </row>
    <row r="194" spans="1:13" x14ac:dyDescent="0.35">
      <c r="A194">
        <v>196</v>
      </c>
      <c r="B194">
        <v>55</v>
      </c>
      <c r="C194" s="1" t="s">
        <v>10</v>
      </c>
      <c r="D194" s="1" t="s">
        <v>11</v>
      </c>
      <c r="E194" s="1" t="s">
        <v>12</v>
      </c>
      <c r="F194">
        <v>15000</v>
      </c>
      <c r="G194">
        <v>18</v>
      </c>
      <c r="H194" s="1" t="s">
        <v>18</v>
      </c>
      <c r="I194" s="1" t="s">
        <v>14</v>
      </c>
      <c r="J194">
        <v>3</v>
      </c>
      <c r="K194" t="s">
        <v>49</v>
      </c>
      <c r="L194" t="s">
        <v>58</v>
      </c>
      <c r="M194" t="s">
        <v>52</v>
      </c>
    </row>
    <row r="195" spans="1:13" x14ac:dyDescent="0.35">
      <c r="A195">
        <v>197</v>
      </c>
      <c r="B195">
        <v>62</v>
      </c>
      <c r="C195" s="1" t="s">
        <v>15</v>
      </c>
      <c r="D195" s="1" t="s">
        <v>16</v>
      </c>
      <c r="E195" s="1" t="s">
        <v>17</v>
      </c>
      <c r="F195">
        <v>2000</v>
      </c>
      <c r="G195">
        <v>16</v>
      </c>
      <c r="H195" s="1" t="s">
        <v>13</v>
      </c>
      <c r="I195" s="1" t="s">
        <v>19</v>
      </c>
      <c r="J195">
        <v>4</v>
      </c>
      <c r="K195" t="s">
        <v>55</v>
      </c>
      <c r="L195" t="s">
        <v>58</v>
      </c>
      <c r="M195" t="s">
        <v>51</v>
      </c>
    </row>
    <row r="196" spans="1:13" x14ac:dyDescent="0.35">
      <c r="A196">
        <v>198</v>
      </c>
      <c r="B196">
        <v>35</v>
      </c>
      <c r="C196" s="1" t="s">
        <v>10</v>
      </c>
      <c r="D196" s="1" t="s">
        <v>20</v>
      </c>
      <c r="E196" s="1" t="s">
        <v>21</v>
      </c>
      <c r="F196">
        <v>500</v>
      </c>
      <c r="G196">
        <v>14</v>
      </c>
      <c r="H196" s="1" t="s">
        <v>18</v>
      </c>
      <c r="I196" s="1" t="s">
        <v>14</v>
      </c>
      <c r="J196">
        <v>5</v>
      </c>
      <c r="K196" t="s">
        <v>53</v>
      </c>
      <c r="L196" t="s">
        <v>58</v>
      </c>
      <c r="M196" t="s">
        <v>51</v>
      </c>
    </row>
    <row r="197" spans="1:13" x14ac:dyDescent="0.35">
      <c r="A197">
        <v>199</v>
      </c>
      <c r="B197">
        <v>78</v>
      </c>
      <c r="C197" s="1" t="s">
        <v>15</v>
      </c>
      <c r="D197" s="1" t="s">
        <v>22</v>
      </c>
      <c r="E197" s="1" t="s">
        <v>23</v>
      </c>
      <c r="F197">
        <v>10000</v>
      </c>
      <c r="G197">
        <v>20</v>
      </c>
      <c r="H197" s="1" t="s">
        <v>13</v>
      </c>
      <c r="I197" s="1" t="s">
        <v>19</v>
      </c>
      <c r="J197">
        <v>2</v>
      </c>
      <c r="K197" t="s">
        <v>55</v>
      </c>
      <c r="L197" t="s">
        <v>58</v>
      </c>
      <c r="M197" t="s">
        <v>57</v>
      </c>
    </row>
    <row r="198" spans="1:13" x14ac:dyDescent="0.35">
      <c r="A198">
        <v>200</v>
      </c>
      <c r="B198">
        <v>53</v>
      </c>
      <c r="C198" s="1" t="s">
        <v>10</v>
      </c>
      <c r="D198" s="1" t="s">
        <v>24</v>
      </c>
      <c r="E198" s="1" t="s">
        <v>25</v>
      </c>
      <c r="F198">
        <v>25000</v>
      </c>
      <c r="G198">
        <v>23</v>
      </c>
      <c r="H198" s="1" t="s">
        <v>18</v>
      </c>
      <c r="I198" s="1" t="s">
        <v>14</v>
      </c>
      <c r="J198">
        <v>4</v>
      </c>
      <c r="K198" t="s">
        <v>49</v>
      </c>
      <c r="L198" t="s">
        <v>58</v>
      </c>
      <c r="M198" t="s">
        <v>51</v>
      </c>
    </row>
    <row r="199" spans="1:13" x14ac:dyDescent="0.35">
      <c r="A199">
        <v>201</v>
      </c>
      <c r="B199">
        <v>72</v>
      </c>
      <c r="C199" s="1" t="s">
        <v>15</v>
      </c>
      <c r="D199" s="1" t="s">
        <v>26</v>
      </c>
      <c r="E199" s="1" t="s">
        <v>27</v>
      </c>
      <c r="F199">
        <v>1000</v>
      </c>
      <c r="G199">
        <v>15</v>
      </c>
      <c r="H199" s="1" t="s">
        <v>13</v>
      </c>
      <c r="I199" s="1" t="s">
        <v>19</v>
      </c>
      <c r="J199">
        <v>4</v>
      </c>
      <c r="K199" t="s">
        <v>55</v>
      </c>
      <c r="L199" t="s">
        <v>58</v>
      </c>
      <c r="M199" t="s">
        <v>51</v>
      </c>
    </row>
    <row r="200" spans="1:13" x14ac:dyDescent="0.35">
      <c r="A200">
        <v>202</v>
      </c>
      <c r="B200">
        <v>60</v>
      </c>
      <c r="C200" s="1" t="s">
        <v>10</v>
      </c>
      <c r="D200" s="1" t="s">
        <v>28</v>
      </c>
      <c r="E200" s="1" t="s">
        <v>29</v>
      </c>
      <c r="F200">
        <v>8000</v>
      </c>
      <c r="G200">
        <v>17</v>
      </c>
      <c r="H200" s="1" t="s">
        <v>18</v>
      </c>
      <c r="I200" s="1" t="s">
        <v>14</v>
      </c>
      <c r="J200">
        <v>3</v>
      </c>
      <c r="K200" t="s">
        <v>49</v>
      </c>
      <c r="L200" t="s">
        <v>58</v>
      </c>
      <c r="M200" t="s">
        <v>52</v>
      </c>
    </row>
    <row r="201" spans="1:13" x14ac:dyDescent="0.35">
      <c r="A201">
        <v>203</v>
      </c>
      <c r="B201">
        <v>45</v>
      </c>
      <c r="C201" s="1" t="s">
        <v>15</v>
      </c>
      <c r="D201" s="1" t="s">
        <v>30</v>
      </c>
      <c r="E201" s="1" t="s">
        <v>31</v>
      </c>
      <c r="F201">
        <v>3000</v>
      </c>
      <c r="G201">
        <v>19</v>
      </c>
      <c r="H201" s="1" t="s">
        <v>13</v>
      </c>
      <c r="I201" s="1" t="s">
        <v>14</v>
      </c>
      <c r="J201">
        <v>4</v>
      </c>
      <c r="K201" t="s">
        <v>49</v>
      </c>
      <c r="L201" t="s">
        <v>58</v>
      </c>
      <c r="M201" t="s">
        <v>51</v>
      </c>
    </row>
    <row r="202" spans="1:13" x14ac:dyDescent="0.35">
      <c r="A202">
        <v>204</v>
      </c>
      <c r="B202">
        <v>75</v>
      </c>
      <c r="C202" s="1" t="s">
        <v>10</v>
      </c>
      <c r="D202" s="1" t="s">
        <v>32</v>
      </c>
      <c r="E202" s="1" t="s">
        <v>33</v>
      </c>
      <c r="F202">
        <v>18000</v>
      </c>
      <c r="G202">
        <v>21</v>
      </c>
      <c r="H202" s="1" t="s">
        <v>18</v>
      </c>
      <c r="I202" s="1" t="s">
        <v>19</v>
      </c>
      <c r="J202">
        <v>2</v>
      </c>
      <c r="K202" t="s">
        <v>55</v>
      </c>
      <c r="L202" t="s">
        <v>58</v>
      </c>
      <c r="M202" t="s">
        <v>57</v>
      </c>
    </row>
    <row r="203" spans="1:13" x14ac:dyDescent="0.35">
      <c r="A203">
        <v>205</v>
      </c>
      <c r="B203">
        <v>28</v>
      </c>
      <c r="C203" s="1" t="s">
        <v>15</v>
      </c>
      <c r="D203" s="1" t="s">
        <v>34</v>
      </c>
      <c r="E203" s="1" t="s">
        <v>35</v>
      </c>
      <c r="F203">
        <v>100</v>
      </c>
      <c r="G203">
        <v>14</v>
      </c>
      <c r="H203" s="1" t="s">
        <v>13</v>
      </c>
      <c r="I203" s="1" t="s">
        <v>14</v>
      </c>
      <c r="J203">
        <v>5</v>
      </c>
      <c r="K203" t="s">
        <v>53</v>
      </c>
      <c r="L203" t="s">
        <v>58</v>
      </c>
      <c r="M203" t="s">
        <v>51</v>
      </c>
    </row>
    <row r="204" spans="1:13" x14ac:dyDescent="0.35">
      <c r="A204">
        <v>206</v>
      </c>
      <c r="B204">
        <v>52</v>
      </c>
      <c r="C204" s="1" t="s">
        <v>10</v>
      </c>
      <c r="D204" s="1" t="s">
        <v>36</v>
      </c>
      <c r="E204" s="1" t="s">
        <v>37</v>
      </c>
      <c r="F204">
        <v>800</v>
      </c>
      <c r="G204">
        <v>15</v>
      </c>
      <c r="H204" s="1" t="s">
        <v>13</v>
      </c>
      <c r="I204" s="1" t="s">
        <v>19</v>
      </c>
      <c r="J204">
        <v>4</v>
      </c>
      <c r="K204" t="s">
        <v>49</v>
      </c>
      <c r="L204" t="s">
        <v>58</v>
      </c>
      <c r="M204" t="s">
        <v>51</v>
      </c>
    </row>
    <row r="205" spans="1:13" x14ac:dyDescent="0.35">
      <c r="A205">
        <v>207</v>
      </c>
      <c r="B205">
        <v>67</v>
      </c>
      <c r="C205" s="1" t="s">
        <v>15</v>
      </c>
      <c r="D205" s="1" t="s">
        <v>38</v>
      </c>
      <c r="E205" s="1" t="s">
        <v>39</v>
      </c>
      <c r="F205">
        <v>20000</v>
      </c>
      <c r="G205">
        <v>22</v>
      </c>
      <c r="H205" s="1" t="s">
        <v>13</v>
      </c>
      <c r="I205" s="1" t="s">
        <v>14</v>
      </c>
      <c r="J205">
        <v>3</v>
      </c>
      <c r="K205" t="s">
        <v>55</v>
      </c>
      <c r="L205" t="s">
        <v>58</v>
      </c>
      <c r="M205" t="s">
        <v>52</v>
      </c>
    </row>
    <row r="206" spans="1:13" x14ac:dyDescent="0.35">
      <c r="A206">
        <v>208</v>
      </c>
      <c r="B206">
        <v>35</v>
      </c>
      <c r="C206" s="1" t="s">
        <v>10</v>
      </c>
      <c r="D206" s="1" t="s">
        <v>40</v>
      </c>
      <c r="E206" s="1" t="s">
        <v>41</v>
      </c>
      <c r="F206">
        <v>12000</v>
      </c>
      <c r="G206">
        <v>16</v>
      </c>
      <c r="H206" s="1" t="s">
        <v>13</v>
      </c>
      <c r="I206" s="1" t="s">
        <v>14</v>
      </c>
      <c r="J206">
        <v>4</v>
      </c>
      <c r="K206" t="s">
        <v>53</v>
      </c>
      <c r="L206" t="s">
        <v>58</v>
      </c>
      <c r="M206" t="s">
        <v>51</v>
      </c>
    </row>
    <row r="207" spans="1:13" x14ac:dyDescent="0.35">
      <c r="A207">
        <v>209</v>
      </c>
      <c r="B207">
        <v>50</v>
      </c>
      <c r="C207" s="1" t="s">
        <v>15</v>
      </c>
      <c r="D207" s="1" t="s">
        <v>42</v>
      </c>
      <c r="E207" s="1" t="s">
        <v>43</v>
      </c>
      <c r="F207">
        <v>6000</v>
      </c>
      <c r="G207">
        <v>17</v>
      </c>
      <c r="H207" s="1" t="s">
        <v>13</v>
      </c>
      <c r="I207" s="1" t="s">
        <v>14</v>
      </c>
      <c r="J207">
        <v>3</v>
      </c>
      <c r="K207" t="s">
        <v>49</v>
      </c>
      <c r="L207" t="s">
        <v>58</v>
      </c>
      <c r="M207" t="s">
        <v>52</v>
      </c>
    </row>
    <row r="208" spans="1:13" x14ac:dyDescent="0.35">
      <c r="A208">
        <v>210</v>
      </c>
      <c r="B208">
        <v>60</v>
      </c>
      <c r="C208" s="1" t="s">
        <v>10</v>
      </c>
      <c r="D208" s="1" t="s">
        <v>44</v>
      </c>
      <c r="E208" s="1" t="s">
        <v>45</v>
      </c>
      <c r="F208">
        <v>4000</v>
      </c>
      <c r="G208">
        <v>18</v>
      </c>
      <c r="H208" s="1" t="s">
        <v>13</v>
      </c>
      <c r="I208" s="1" t="s">
        <v>19</v>
      </c>
      <c r="J208">
        <v>4</v>
      </c>
      <c r="K208" t="s">
        <v>49</v>
      </c>
      <c r="L208" t="s">
        <v>58</v>
      </c>
      <c r="M208" t="s">
        <v>51</v>
      </c>
    </row>
    <row r="209" spans="1:13" x14ac:dyDescent="0.35">
      <c r="A209">
        <v>211</v>
      </c>
      <c r="B209">
        <v>48</v>
      </c>
      <c r="C209" s="1" t="s">
        <v>10</v>
      </c>
      <c r="D209" s="1" t="s">
        <v>11</v>
      </c>
      <c r="E209" s="1" t="s">
        <v>12</v>
      </c>
      <c r="F209">
        <v>15000</v>
      </c>
      <c r="G209">
        <v>19</v>
      </c>
      <c r="H209" s="1" t="s">
        <v>18</v>
      </c>
      <c r="I209" s="1" t="s">
        <v>14</v>
      </c>
      <c r="J209">
        <v>4</v>
      </c>
      <c r="K209" t="s">
        <v>49</v>
      </c>
      <c r="L209" t="s">
        <v>58</v>
      </c>
      <c r="M209" t="s">
        <v>51</v>
      </c>
    </row>
    <row r="210" spans="1:13" x14ac:dyDescent="0.35">
      <c r="A210">
        <v>212</v>
      </c>
      <c r="B210">
        <v>65</v>
      </c>
      <c r="C210" s="1" t="s">
        <v>15</v>
      </c>
      <c r="D210" s="1" t="s">
        <v>16</v>
      </c>
      <c r="E210" s="1" t="s">
        <v>17</v>
      </c>
      <c r="F210">
        <v>2000</v>
      </c>
      <c r="G210">
        <v>17</v>
      </c>
      <c r="H210" s="1" t="s">
        <v>13</v>
      </c>
      <c r="I210" s="1" t="s">
        <v>19</v>
      </c>
      <c r="J210">
        <v>3</v>
      </c>
      <c r="K210" t="s">
        <v>55</v>
      </c>
      <c r="L210" t="s">
        <v>58</v>
      </c>
      <c r="M210" t="s">
        <v>52</v>
      </c>
    </row>
    <row r="211" spans="1:13" x14ac:dyDescent="0.35">
      <c r="A211">
        <v>213</v>
      </c>
      <c r="B211">
        <v>30</v>
      </c>
      <c r="C211" s="1" t="s">
        <v>10</v>
      </c>
      <c r="D211" s="1" t="s">
        <v>20</v>
      </c>
      <c r="E211" s="1" t="s">
        <v>21</v>
      </c>
      <c r="F211">
        <v>500</v>
      </c>
      <c r="G211">
        <v>15</v>
      </c>
      <c r="H211" s="1" t="s">
        <v>13</v>
      </c>
      <c r="I211" s="1" t="s">
        <v>14</v>
      </c>
      <c r="J211">
        <v>5</v>
      </c>
      <c r="K211" t="s">
        <v>53</v>
      </c>
      <c r="L211" t="s">
        <v>58</v>
      </c>
      <c r="M211" t="s">
        <v>51</v>
      </c>
    </row>
    <row r="212" spans="1:13" x14ac:dyDescent="0.35">
      <c r="A212">
        <v>214</v>
      </c>
      <c r="B212">
        <v>70</v>
      </c>
      <c r="C212" s="1" t="s">
        <v>15</v>
      </c>
      <c r="D212" s="1" t="s">
        <v>22</v>
      </c>
      <c r="E212" s="1" t="s">
        <v>23</v>
      </c>
      <c r="F212">
        <v>10000</v>
      </c>
      <c r="G212">
        <v>21</v>
      </c>
      <c r="H212" s="1" t="s">
        <v>18</v>
      </c>
      <c r="I212" s="1" t="s">
        <v>19</v>
      </c>
      <c r="J212">
        <v>2</v>
      </c>
      <c r="K212" t="s">
        <v>55</v>
      </c>
      <c r="L212" t="s">
        <v>58</v>
      </c>
      <c r="M212" t="s">
        <v>57</v>
      </c>
    </row>
    <row r="213" spans="1:13" x14ac:dyDescent="0.35">
      <c r="A213">
        <v>215</v>
      </c>
      <c r="B213">
        <v>55</v>
      </c>
      <c r="C213" s="1" t="s">
        <v>10</v>
      </c>
      <c r="D213" s="1" t="s">
        <v>24</v>
      </c>
      <c r="E213" s="1" t="s">
        <v>25</v>
      </c>
      <c r="F213">
        <v>25000</v>
      </c>
      <c r="G213">
        <v>24</v>
      </c>
      <c r="H213" s="1" t="s">
        <v>13</v>
      </c>
      <c r="I213" s="1" t="s">
        <v>14</v>
      </c>
      <c r="J213">
        <v>4</v>
      </c>
      <c r="K213" t="s">
        <v>49</v>
      </c>
      <c r="L213" t="s">
        <v>58</v>
      </c>
      <c r="M213" t="s">
        <v>51</v>
      </c>
    </row>
    <row r="214" spans="1:13" x14ac:dyDescent="0.35">
      <c r="A214">
        <v>216</v>
      </c>
      <c r="B214">
        <v>68</v>
      </c>
      <c r="C214" s="1" t="s">
        <v>15</v>
      </c>
      <c r="D214" s="1" t="s">
        <v>26</v>
      </c>
      <c r="E214" s="1" t="s">
        <v>27</v>
      </c>
      <c r="F214">
        <v>1000</v>
      </c>
      <c r="G214">
        <v>16</v>
      </c>
      <c r="H214" s="1" t="s">
        <v>13</v>
      </c>
      <c r="I214" s="1" t="s">
        <v>19</v>
      </c>
      <c r="J214">
        <v>4</v>
      </c>
      <c r="K214" t="s">
        <v>55</v>
      </c>
      <c r="L214" t="s">
        <v>58</v>
      </c>
      <c r="M214" t="s">
        <v>51</v>
      </c>
    </row>
    <row r="215" spans="1:13" x14ac:dyDescent="0.35">
      <c r="A215">
        <v>217</v>
      </c>
      <c r="B215">
        <v>45</v>
      </c>
      <c r="C215" s="1" t="s">
        <v>10</v>
      </c>
      <c r="D215" s="1" t="s">
        <v>28</v>
      </c>
      <c r="E215" s="1" t="s">
        <v>29</v>
      </c>
      <c r="F215">
        <v>8000</v>
      </c>
      <c r="G215">
        <v>18</v>
      </c>
      <c r="H215" s="1" t="s">
        <v>13</v>
      </c>
      <c r="I215" s="1" t="s">
        <v>14</v>
      </c>
      <c r="J215">
        <v>3</v>
      </c>
      <c r="K215" t="s">
        <v>49</v>
      </c>
      <c r="L215" t="s">
        <v>58</v>
      </c>
      <c r="M215" t="s">
        <v>52</v>
      </c>
    </row>
    <row r="216" spans="1:13" x14ac:dyDescent="0.35">
      <c r="A216">
        <v>218</v>
      </c>
      <c r="B216">
        <v>40</v>
      </c>
      <c r="C216" s="1" t="s">
        <v>15</v>
      </c>
      <c r="D216" s="1" t="s">
        <v>30</v>
      </c>
      <c r="E216" s="1" t="s">
        <v>31</v>
      </c>
      <c r="F216">
        <v>3000</v>
      </c>
      <c r="G216">
        <v>20</v>
      </c>
      <c r="H216" s="1" t="s">
        <v>13</v>
      </c>
      <c r="I216" s="1" t="s">
        <v>14</v>
      </c>
      <c r="J216">
        <v>4</v>
      </c>
      <c r="K216" t="s">
        <v>49</v>
      </c>
      <c r="L216" t="s">
        <v>58</v>
      </c>
      <c r="M216" t="s">
        <v>51</v>
      </c>
    </row>
    <row r="217" spans="1:13" x14ac:dyDescent="0.35">
      <c r="A217">
        <v>219</v>
      </c>
      <c r="B217">
        <v>78</v>
      </c>
      <c r="C217" s="1" t="s">
        <v>10</v>
      </c>
      <c r="D217" s="1" t="s">
        <v>32</v>
      </c>
      <c r="E217" s="1" t="s">
        <v>33</v>
      </c>
      <c r="F217">
        <v>18000</v>
      </c>
      <c r="G217">
        <v>22</v>
      </c>
      <c r="H217" s="1" t="s">
        <v>18</v>
      </c>
      <c r="I217" s="1" t="s">
        <v>19</v>
      </c>
      <c r="J217">
        <v>2</v>
      </c>
      <c r="K217" t="s">
        <v>55</v>
      </c>
      <c r="L217" t="s">
        <v>58</v>
      </c>
      <c r="M217" t="s">
        <v>57</v>
      </c>
    </row>
    <row r="218" spans="1:13" x14ac:dyDescent="0.35">
      <c r="A218">
        <v>220</v>
      </c>
      <c r="B218">
        <v>25</v>
      </c>
      <c r="C218" s="1" t="s">
        <v>15</v>
      </c>
      <c r="D218" s="1" t="s">
        <v>34</v>
      </c>
      <c r="E218" s="1" t="s">
        <v>35</v>
      </c>
      <c r="F218">
        <v>100</v>
      </c>
      <c r="G218">
        <v>15</v>
      </c>
      <c r="H218" s="1" t="s">
        <v>13</v>
      </c>
      <c r="I218" s="1" t="s">
        <v>14</v>
      </c>
      <c r="J218">
        <v>5</v>
      </c>
      <c r="K218" t="s">
        <v>53</v>
      </c>
      <c r="L218" t="s">
        <v>58</v>
      </c>
      <c r="M218" t="s">
        <v>51</v>
      </c>
    </row>
    <row r="219" spans="1:13" x14ac:dyDescent="0.35">
      <c r="A219">
        <v>221</v>
      </c>
      <c r="B219">
        <v>52</v>
      </c>
      <c r="C219" s="1" t="s">
        <v>10</v>
      </c>
      <c r="D219" s="1" t="s">
        <v>36</v>
      </c>
      <c r="E219" s="1" t="s">
        <v>37</v>
      </c>
      <c r="F219">
        <v>800</v>
      </c>
      <c r="G219">
        <v>16</v>
      </c>
      <c r="H219" s="1" t="s">
        <v>13</v>
      </c>
      <c r="I219" s="1" t="s">
        <v>19</v>
      </c>
      <c r="J219">
        <v>4</v>
      </c>
      <c r="K219" t="s">
        <v>49</v>
      </c>
      <c r="L219" t="s">
        <v>58</v>
      </c>
      <c r="M219" t="s">
        <v>51</v>
      </c>
    </row>
    <row r="220" spans="1:13" x14ac:dyDescent="0.35">
      <c r="A220">
        <v>222</v>
      </c>
      <c r="B220">
        <v>58</v>
      </c>
      <c r="C220" s="1" t="s">
        <v>15</v>
      </c>
      <c r="D220" s="1" t="s">
        <v>38</v>
      </c>
      <c r="E220" s="1" t="s">
        <v>39</v>
      </c>
      <c r="F220">
        <v>20000</v>
      </c>
      <c r="G220">
        <v>23</v>
      </c>
      <c r="H220" s="1" t="s">
        <v>13</v>
      </c>
      <c r="I220" s="1" t="s">
        <v>14</v>
      </c>
      <c r="J220">
        <v>3</v>
      </c>
      <c r="K220" t="s">
        <v>49</v>
      </c>
      <c r="L220" t="s">
        <v>58</v>
      </c>
      <c r="M220" t="s">
        <v>52</v>
      </c>
    </row>
    <row r="221" spans="1:13" x14ac:dyDescent="0.35">
      <c r="A221">
        <v>223</v>
      </c>
      <c r="B221">
        <v>32</v>
      </c>
      <c r="C221" s="1" t="s">
        <v>10</v>
      </c>
      <c r="D221" s="1" t="s">
        <v>40</v>
      </c>
      <c r="E221" s="1" t="s">
        <v>41</v>
      </c>
      <c r="F221">
        <v>12000</v>
      </c>
      <c r="G221">
        <v>17</v>
      </c>
      <c r="H221" s="1" t="s">
        <v>13</v>
      </c>
      <c r="I221" s="1" t="s">
        <v>14</v>
      </c>
      <c r="J221">
        <v>4</v>
      </c>
      <c r="K221" t="s">
        <v>53</v>
      </c>
      <c r="L221" t="s">
        <v>58</v>
      </c>
      <c r="M221" t="s">
        <v>51</v>
      </c>
    </row>
    <row r="222" spans="1:13" x14ac:dyDescent="0.35">
      <c r="A222">
        <v>224</v>
      </c>
      <c r="B222">
        <v>55</v>
      </c>
      <c r="C222" s="1" t="s">
        <v>15</v>
      </c>
      <c r="D222" s="1" t="s">
        <v>42</v>
      </c>
      <c r="E222" s="1" t="s">
        <v>43</v>
      </c>
      <c r="F222">
        <v>6000</v>
      </c>
      <c r="G222">
        <v>18</v>
      </c>
      <c r="H222" s="1" t="s">
        <v>13</v>
      </c>
      <c r="I222" s="1" t="s">
        <v>14</v>
      </c>
      <c r="J222">
        <v>3</v>
      </c>
      <c r="K222" t="s">
        <v>49</v>
      </c>
      <c r="L222" t="s">
        <v>58</v>
      </c>
      <c r="M222" t="s">
        <v>52</v>
      </c>
    </row>
    <row r="223" spans="1:13" x14ac:dyDescent="0.35">
      <c r="A223">
        <v>225</v>
      </c>
      <c r="B223">
        <v>65</v>
      </c>
      <c r="C223" s="1" t="s">
        <v>10</v>
      </c>
      <c r="D223" s="1" t="s">
        <v>44</v>
      </c>
      <c r="E223" s="1" t="s">
        <v>45</v>
      </c>
      <c r="F223">
        <v>4000</v>
      </c>
      <c r="G223">
        <v>19</v>
      </c>
      <c r="H223" s="1" t="s">
        <v>13</v>
      </c>
      <c r="I223" s="1" t="s">
        <v>19</v>
      </c>
      <c r="J223">
        <v>4</v>
      </c>
      <c r="K223" t="s">
        <v>55</v>
      </c>
      <c r="L223" t="s">
        <v>58</v>
      </c>
      <c r="M223" t="s">
        <v>51</v>
      </c>
    </row>
    <row r="224" spans="1:13" x14ac:dyDescent="0.35">
      <c r="A224">
        <v>226</v>
      </c>
      <c r="B224">
        <v>55</v>
      </c>
      <c r="C224" s="1" t="s">
        <v>10</v>
      </c>
      <c r="D224" s="1" t="s">
        <v>11</v>
      </c>
      <c r="E224" s="1" t="s">
        <v>12</v>
      </c>
      <c r="F224">
        <v>15000</v>
      </c>
      <c r="G224">
        <v>20</v>
      </c>
      <c r="H224" s="1" t="s">
        <v>18</v>
      </c>
      <c r="I224" s="1" t="s">
        <v>14</v>
      </c>
      <c r="J224">
        <v>3</v>
      </c>
      <c r="K224" t="s">
        <v>49</v>
      </c>
      <c r="L224" t="s">
        <v>58</v>
      </c>
      <c r="M224" t="s">
        <v>52</v>
      </c>
    </row>
    <row r="225" spans="1:13" x14ac:dyDescent="0.35">
      <c r="A225">
        <v>227</v>
      </c>
      <c r="B225">
        <v>62</v>
      </c>
      <c r="C225" s="1" t="s">
        <v>15</v>
      </c>
      <c r="D225" s="1" t="s">
        <v>16</v>
      </c>
      <c r="E225" s="1" t="s">
        <v>17</v>
      </c>
      <c r="F225">
        <v>2000</v>
      </c>
      <c r="G225">
        <v>18</v>
      </c>
      <c r="H225" s="1" t="s">
        <v>13</v>
      </c>
      <c r="I225" s="1" t="s">
        <v>19</v>
      </c>
      <c r="J225">
        <v>4</v>
      </c>
      <c r="K225" t="s">
        <v>55</v>
      </c>
      <c r="L225" t="s">
        <v>58</v>
      </c>
      <c r="M225" t="s">
        <v>51</v>
      </c>
    </row>
    <row r="226" spans="1:13" x14ac:dyDescent="0.35">
      <c r="A226">
        <v>228</v>
      </c>
      <c r="B226">
        <v>35</v>
      </c>
      <c r="C226" s="1" t="s">
        <v>10</v>
      </c>
      <c r="D226" s="1" t="s">
        <v>20</v>
      </c>
      <c r="E226" s="1" t="s">
        <v>21</v>
      </c>
      <c r="F226">
        <v>500</v>
      </c>
      <c r="G226">
        <v>16</v>
      </c>
      <c r="H226" s="1" t="s">
        <v>18</v>
      </c>
      <c r="I226" s="1" t="s">
        <v>14</v>
      </c>
      <c r="J226">
        <v>5</v>
      </c>
      <c r="K226" t="s">
        <v>53</v>
      </c>
      <c r="L226" t="s">
        <v>58</v>
      </c>
      <c r="M226" t="s">
        <v>51</v>
      </c>
    </row>
    <row r="227" spans="1:13" x14ac:dyDescent="0.35">
      <c r="A227">
        <v>229</v>
      </c>
      <c r="B227">
        <v>78</v>
      </c>
      <c r="C227" s="1" t="s">
        <v>15</v>
      </c>
      <c r="D227" s="1" t="s">
        <v>22</v>
      </c>
      <c r="E227" s="1" t="s">
        <v>23</v>
      </c>
      <c r="F227">
        <v>10000</v>
      </c>
      <c r="G227">
        <v>22</v>
      </c>
      <c r="H227" s="1" t="s">
        <v>13</v>
      </c>
      <c r="I227" s="1" t="s">
        <v>19</v>
      </c>
      <c r="J227">
        <v>2</v>
      </c>
      <c r="K227" t="s">
        <v>55</v>
      </c>
      <c r="L227" t="s">
        <v>58</v>
      </c>
      <c r="M227" t="s">
        <v>57</v>
      </c>
    </row>
    <row r="228" spans="1:13" x14ac:dyDescent="0.35">
      <c r="A228">
        <v>230</v>
      </c>
      <c r="B228">
        <v>53</v>
      </c>
      <c r="C228" s="1" t="s">
        <v>10</v>
      </c>
      <c r="D228" s="1" t="s">
        <v>24</v>
      </c>
      <c r="E228" s="1" t="s">
        <v>25</v>
      </c>
      <c r="F228">
        <v>25000</v>
      </c>
      <c r="G228">
        <v>25</v>
      </c>
      <c r="H228" s="1" t="s">
        <v>18</v>
      </c>
      <c r="I228" s="1" t="s">
        <v>14</v>
      </c>
      <c r="J228">
        <v>4</v>
      </c>
      <c r="K228" t="s">
        <v>49</v>
      </c>
      <c r="L228" t="s">
        <v>58</v>
      </c>
      <c r="M228" t="s">
        <v>51</v>
      </c>
    </row>
    <row r="229" spans="1:13" x14ac:dyDescent="0.35">
      <c r="A229">
        <v>231</v>
      </c>
      <c r="B229">
        <v>72</v>
      </c>
      <c r="C229" s="1" t="s">
        <v>15</v>
      </c>
      <c r="D229" s="1" t="s">
        <v>26</v>
      </c>
      <c r="E229" s="1" t="s">
        <v>27</v>
      </c>
      <c r="F229">
        <v>1000</v>
      </c>
      <c r="G229">
        <v>17</v>
      </c>
      <c r="H229" s="1" t="s">
        <v>13</v>
      </c>
      <c r="I229" s="1" t="s">
        <v>19</v>
      </c>
      <c r="J229">
        <v>4</v>
      </c>
      <c r="K229" t="s">
        <v>55</v>
      </c>
      <c r="L229" t="s">
        <v>58</v>
      </c>
      <c r="M229" t="s">
        <v>51</v>
      </c>
    </row>
    <row r="230" spans="1:13" x14ac:dyDescent="0.35">
      <c r="A230">
        <v>232</v>
      </c>
      <c r="B230">
        <v>60</v>
      </c>
      <c r="C230" s="1" t="s">
        <v>10</v>
      </c>
      <c r="D230" s="1" t="s">
        <v>28</v>
      </c>
      <c r="E230" s="1" t="s">
        <v>29</v>
      </c>
      <c r="F230">
        <v>8000</v>
      </c>
      <c r="G230">
        <v>19</v>
      </c>
      <c r="H230" s="1" t="s">
        <v>18</v>
      </c>
      <c r="I230" s="1" t="s">
        <v>14</v>
      </c>
      <c r="J230">
        <v>3</v>
      </c>
      <c r="K230" t="s">
        <v>49</v>
      </c>
      <c r="L230" t="s">
        <v>58</v>
      </c>
      <c r="M230" t="s">
        <v>52</v>
      </c>
    </row>
    <row r="231" spans="1:13" x14ac:dyDescent="0.35">
      <c r="A231">
        <v>233</v>
      </c>
      <c r="B231">
        <v>45</v>
      </c>
      <c r="C231" s="1" t="s">
        <v>15</v>
      </c>
      <c r="D231" s="1" t="s">
        <v>30</v>
      </c>
      <c r="E231" s="1" t="s">
        <v>31</v>
      </c>
      <c r="F231">
        <v>3000</v>
      </c>
      <c r="G231">
        <v>21</v>
      </c>
      <c r="H231" s="1" t="s">
        <v>13</v>
      </c>
      <c r="I231" s="1" t="s">
        <v>14</v>
      </c>
      <c r="J231">
        <v>4</v>
      </c>
      <c r="K231" t="s">
        <v>49</v>
      </c>
      <c r="L231" t="s">
        <v>58</v>
      </c>
      <c r="M231" t="s">
        <v>51</v>
      </c>
    </row>
    <row r="232" spans="1:13" x14ac:dyDescent="0.35">
      <c r="A232">
        <v>234</v>
      </c>
      <c r="B232">
        <v>75</v>
      </c>
      <c r="C232" s="1" t="s">
        <v>10</v>
      </c>
      <c r="D232" s="1" t="s">
        <v>32</v>
      </c>
      <c r="E232" s="1" t="s">
        <v>33</v>
      </c>
      <c r="F232">
        <v>18000</v>
      </c>
      <c r="G232">
        <v>23</v>
      </c>
      <c r="H232" s="1" t="s">
        <v>18</v>
      </c>
      <c r="I232" s="1" t="s">
        <v>19</v>
      </c>
      <c r="J232">
        <v>2</v>
      </c>
      <c r="K232" t="s">
        <v>55</v>
      </c>
      <c r="L232" t="s">
        <v>58</v>
      </c>
      <c r="M232" t="s">
        <v>57</v>
      </c>
    </row>
    <row r="233" spans="1:13" x14ac:dyDescent="0.35">
      <c r="A233">
        <v>235</v>
      </c>
      <c r="B233">
        <v>28</v>
      </c>
      <c r="C233" s="1" t="s">
        <v>15</v>
      </c>
      <c r="D233" s="1" t="s">
        <v>34</v>
      </c>
      <c r="E233" s="1" t="s">
        <v>35</v>
      </c>
      <c r="F233">
        <v>100</v>
      </c>
      <c r="G233">
        <v>16</v>
      </c>
      <c r="H233" s="1" t="s">
        <v>13</v>
      </c>
      <c r="I233" s="1" t="s">
        <v>14</v>
      </c>
      <c r="J233">
        <v>5</v>
      </c>
      <c r="K233" t="s">
        <v>53</v>
      </c>
      <c r="L233" t="s">
        <v>58</v>
      </c>
      <c r="M233" t="s">
        <v>51</v>
      </c>
    </row>
    <row r="234" spans="1:13" x14ac:dyDescent="0.35">
      <c r="A234">
        <v>236</v>
      </c>
      <c r="B234">
        <v>52</v>
      </c>
      <c r="C234" s="1" t="s">
        <v>10</v>
      </c>
      <c r="D234" s="1" t="s">
        <v>36</v>
      </c>
      <c r="E234" s="1" t="s">
        <v>37</v>
      </c>
      <c r="F234">
        <v>800</v>
      </c>
      <c r="G234">
        <v>17</v>
      </c>
      <c r="H234" s="1" t="s">
        <v>13</v>
      </c>
      <c r="I234" s="1" t="s">
        <v>19</v>
      </c>
      <c r="J234">
        <v>4</v>
      </c>
      <c r="K234" t="s">
        <v>49</v>
      </c>
      <c r="L234" t="s">
        <v>58</v>
      </c>
      <c r="M234" t="s">
        <v>51</v>
      </c>
    </row>
    <row r="235" spans="1:13" x14ac:dyDescent="0.35">
      <c r="A235">
        <v>237</v>
      </c>
      <c r="B235">
        <v>67</v>
      </c>
      <c r="C235" s="1" t="s">
        <v>15</v>
      </c>
      <c r="D235" s="1" t="s">
        <v>38</v>
      </c>
      <c r="E235" s="1" t="s">
        <v>39</v>
      </c>
      <c r="F235">
        <v>20000</v>
      </c>
      <c r="G235">
        <v>24</v>
      </c>
      <c r="H235" s="1" t="s">
        <v>13</v>
      </c>
      <c r="I235" s="1" t="s">
        <v>14</v>
      </c>
      <c r="J235">
        <v>3</v>
      </c>
      <c r="K235" t="s">
        <v>55</v>
      </c>
      <c r="L235" t="s">
        <v>58</v>
      </c>
      <c r="M235" t="s">
        <v>52</v>
      </c>
    </row>
    <row r="236" spans="1:13" x14ac:dyDescent="0.35">
      <c r="A236">
        <v>238</v>
      </c>
      <c r="B236">
        <v>35</v>
      </c>
      <c r="C236" s="1" t="s">
        <v>10</v>
      </c>
      <c r="D236" s="1" t="s">
        <v>40</v>
      </c>
      <c r="E236" s="1" t="s">
        <v>41</v>
      </c>
      <c r="F236">
        <v>12000</v>
      </c>
      <c r="G236">
        <v>18</v>
      </c>
      <c r="H236" s="1" t="s">
        <v>13</v>
      </c>
      <c r="I236" s="1" t="s">
        <v>14</v>
      </c>
      <c r="J236">
        <v>4</v>
      </c>
      <c r="K236" t="s">
        <v>53</v>
      </c>
      <c r="L236" t="s">
        <v>58</v>
      </c>
      <c r="M236" t="s">
        <v>51</v>
      </c>
    </row>
    <row r="237" spans="1:13" x14ac:dyDescent="0.35">
      <c r="A237">
        <v>239</v>
      </c>
      <c r="B237">
        <v>50</v>
      </c>
      <c r="C237" s="1" t="s">
        <v>15</v>
      </c>
      <c r="D237" s="1" t="s">
        <v>42</v>
      </c>
      <c r="E237" s="1" t="s">
        <v>43</v>
      </c>
      <c r="F237">
        <v>6000</v>
      </c>
      <c r="G237">
        <v>19</v>
      </c>
      <c r="H237" s="1" t="s">
        <v>13</v>
      </c>
      <c r="I237" s="1" t="s">
        <v>14</v>
      </c>
      <c r="J237">
        <v>3</v>
      </c>
      <c r="K237" t="s">
        <v>49</v>
      </c>
      <c r="L237" t="s">
        <v>58</v>
      </c>
      <c r="M237" t="s">
        <v>52</v>
      </c>
    </row>
    <row r="238" spans="1:13" x14ac:dyDescent="0.35">
      <c r="A238">
        <v>240</v>
      </c>
      <c r="B238">
        <v>60</v>
      </c>
      <c r="C238" s="1" t="s">
        <v>10</v>
      </c>
      <c r="D238" s="1" t="s">
        <v>44</v>
      </c>
      <c r="E238" s="1" t="s">
        <v>45</v>
      </c>
      <c r="F238">
        <v>4000</v>
      </c>
      <c r="G238">
        <v>20</v>
      </c>
      <c r="H238" s="1" t="s">
        <v>13</v>
      </c>
      <c r="I238" s="1" t="s">
        <v>19</v>
      </c>
      <c r="J238">
        <v>4</v>
      </c>
      <c r="K238" t="s">
        <v>49</v>
      </c>
      <c r="L238" t="s">
        <v>58</v>
      </c>
      <c r="M238" t="s">
        <v>51</v>
      </c>
    </row>
    <row r="239" spans="1:13" x14ac:dyDescent="0.35">
      <c r="A239">
        <v>241</v>
      </c>
      <c r="B239">
        <v>48</v>
      </c>
      <c r="C239" s="1" t="s">
        <v>10</v>
      </c>
      <c r="D239" s="1" t="s">
        <v>11</v>
      </c>
      <c r="E239" s="1" t="s">
        <v>12</v>
      </c>
      <c r="F239">
        <v>15000</v>
      </c>
      <c r="G239">
        <v>21</v>
      </c>
      <c r="H239" s="1" t="s">
        <v>18</v>
      </c>
      <c r="I239" s="1" t="s">
        <v>14</v>
      </c>
      <c r="J239">
        <v>4</v>
      </c>
      <c r="K239" t="s">
        <v>49</v>
      </c>
      <c r="L239" t="s">
        <v>58</v>
      </c>
      <c r="M239" t="s">
        <v>51</v>
      </c>
    </row>
    <row r="240" spans="1:13" x14ac:dyDescent="0.35">
      <c r="A240">
        <v>242</v>
      </c>
      <c r="B240">
        <v>65</v>
      </c>
      <c r="C240" s="1" t="s">
        <v>15</v>
      </c>
      <c r="D240" s="1" t="s">
        <v>16</v>
      </c>
      <c r="E240" s="1" t="s">
        <v>17</v>
      </c>
      <c r="F240">
        <v>2000</v>
      </c>
      <c r="G240">
        <v>19</v>
      </c>
      <c r="H240" s="1" t="s">
        <v>13</v>
      </c>
      <c r="I240" s="1" t="s">
        <v>19</v>
      </c>
      <c r="J240">
        <v>3</v>
      </c>
      <c r="K240" t="s">
        <v>55</v>
      </c>
      <c r="L240" t="s">
        <v>58</v>
      </c>
      <c r="M240" t="s">
        <v>52</v>
      </c>
    </row>
    <row r="241" spans="1:13" x14ac:dyDescent="0.35">
      <c r="A241">
        <v>244</v>
      </c>
      <c r="B241">
        <v>70</v>
      </c>
      <c r="C241" s="1" t="s">
        <v>15</v>
      </c>
      <c r="D241" s="1" t="s">
        <v>22</v>
      </c>
      <c r="E241" s="1" t="s">
        <v>23</v>
      </c>
      <c r="F241">
        <v>10000</v>
      </c>
      <c r="G241">
        <v>23</v>
      </c>
      <c r="H241" s="1" t="s">
        <v>18</v>
      </c>
      <c r="I241" s="1" t="s">
        <v>19</v>
      </c>
      <c r="J241">
        <v>2</v>
      </c>
      <c r="K241" t="s">
        <v>55</v>
      </c>
      <c r="L241" t="s">
        <v>58</v>
      </c>
      <c r="M241" t="s">
        <v>57</v>
      </c>
    </row>
    <row r="242" spans="1:13" x14ac:dyDescent="0.35">
      <c r="A242">
        <v>245</v>
      </c>
      <c r="B242">
        <v>55</v>
      </c>
      <c r="C242" s="1" t="s">
        <v>10</v>
      </c>
      <c r="D242" s="1" t="s">
        <v>24</v>
      </c>
      <c r="E242" s="1" t="s">
        <v>25</v>
      </c>
      <c r="F242">
        <v>25000</v>
      </c>
      <c r="G242">
        <v>26</v>
      </c>
      <c r="H242" s="1" t="s">
        <v>13</v>
      </c>
      <c r="I242" s="1" t="s">
        <v>14</v>
      </c>
      <c r="J242">
        <v>4</v>
      </c>
      <c r="K242" t="s">
        <v>49</v>
      </c>
      <c r="L242" t="s">
        <v>58</v>
      </c>
      <c r="M242" t="s">
        <v>51</v>
      </c>
    </row>
    <row r="243" spans="1:13" x14ac:dyDescent="0.35">
      <c r="A243">
        <v>246</v>
      </c>
      <c r="B243">
        <v>68</v>
      </c>
      <c r="C243" s="1" t="s">
        <v>15</v>
      </c>
      <c r="D243" s="1" t="s">
        <v>26</v>
      </c>
      <c r="E243" s="1" t="s">
        <v>27</v>
      </c>
      <c r="F243">
        <v>1000</v>
      </c>
      <c r="G243">
        <v>18</v>
      </c>
      <c r="H243" s="1" t="s">
        <v>13</v>
      </c>
      <c r="I243" s="1" t="s">
        <v>19</v>
      </c>
      <c r="J243">
        <v>4</v>
      </c>
      <c r="K243" t="s">
        <v>55</v>
      </c>
      <c r="L243" t="s">
        <v>58</v>
      </c>
      <c r="M243" t="s">
        <v>51</v>
      </c>
    </row>
    <row r="244" spans="1:13" x14ac:dyDescent="0.35">
      <c r="A244">
        <v>247</v>
      </c>
      <c r="B244">
        <v>45</v>
      </c>
      <c r="C244" s="1" t="s">
        <v>10</v>
      </c>
      <c r="D244" s="1" t="s">
        <v>28</v>
      </c>
      <c r="E244" s="1" t="s">
        <v>29</v>
      </c>
      <c r="F244">
        <v>8000</v>
      </c>
      <c r="G244">
        <v>20</v>
      </c>
      <c r="H244" s="1" t="s">
        <v>13</v>
      </c>
      <c r="I244" s="1" t="s">
        <v>14</v>
      </c>
      <c r="J244">
        <v>3</v>
      </c>
      <c r="K244" t="s">
        <v>49</v>
      </c>
      <c r="L244" t="s">
        <v>58</v>
      </c>
      <c r="M244" t="s">
        <v>52</v>
      </c>
    </row>
    <row r="245" spans="1:13" x14ac:dyDescent="0.35">
      <c r="A245">
        <v>248</v>
      </c>
      <c r="B245">
        <v>40</v>
      </c>
      <c r="C245" s="1" t="s">
        <v>15</v>
      </c>
      <c r="D245" s="1" t="s">
        <v>30</v>
      </c>
      <c r="E245" s="1" t="s">
        <v>31</v>
      </c>
      <c r="F245">
        <v>3000</v>
      </c>
      <c r="G245">
        <v>22</v>
      </c>
      <c r="H245" s="1" t="s">
        <v>13</v>
      </c>
      <c r="I245" s="1" t="s">
        <v>14</v>
      </c>
      <c r="J245">
        <v>4</v>
      </c>
      <c r="K245" t="s">
        <v>49</v>
      </c>
      <c r="L245" t="s">
        <v>58</v>
      </c>
      <c r="M245" t="s">
        <v>51</v>
      </c>
    </row>
    <row r="246" spans="1:13" x14ac:dyDescent="0.35">
      <c r="A246">
        <v>249</v>
      </c>
      <c r="B246">
        <v>78</v>
      </c>
      <c r="C246" s="1" t="s">
        <v>10</v>
      </c>
      <c r="D246" s="1" t="s">
        <v>32</v>
      </c>
      <c r="E246" s="1" t="s">
        <v>33</v>
      </c>
      <c r="F246">
        <v>18000</v>
      </c>
      <c r="G246">
        <v>24</v>
      </c>
      <c r="H246" s="1" t="s">
        <v>18</v>
      </c>
      <c r="I246" s="1" t="s">
        <v>19</v>
      </c>
      <c r="J246">
        <v>2</v>
      </c>
      <c r="K246" t="s">
        <v>55</v>
      </c>
      <c r="L246" t="s">
        <v>58</v>
      </c>
      <c r="M246" t="s">
        <v>57</v>
      </c>
    </row>
    <row r="247" spans="1:13" x14ac:dyDescent="0.35">
      <c r="A247">
        <v>250</v>
      </c>
      <c r="B247">
        <v>25</v>
      </c>
      <c r="C247" s="1" t="s">
        <v>15</v>
      </c>
      <c r="D247" s="1" t="s">
        <v>34</v>
      </c>
      <c r="E247" s="1" t="s">
        <v>35</v>
      </c>
      <c r="F247">
        <v>100</v>
      </c>
      <c r="G247">
        <v>17</v>
      </c>
      <c r="H247" s="1" t="s">
        <v>13</v>
      </c>
      <c r="I247" s="1" t="s">
        <v>14</v>
      </c>
      <c r="J247">
        <v>5</v>
      </c>
      <c r="K247" t="s">
        <v>53</v>
      </c>
      <c r="L247" t="s">
        <v>58</v>
      </c>
      <c r="M247" t="s">
        <v>51</v>
      </c>
    </row>
    <row r="248" spans="1:13" x14ac:dyDescent="0.35">
      <c r="A248">
        <v>251</v>
      </c>
      <c r="B248">
        <v>52</v>
      </c>
      <c r="C248" s="1" t="s">
        <v>10</v>
      </c>
      <c r="D248" s="1" t="s">
        <v>36</v>
      </c>
      <c r="E248" s="1" t="s">
        <v>37</v>
      </c>
      <c r="F248">
        <v>800</v>
      </c>
      <c r="G248">
        <v>18</v>
      </c>
      <c r="H248" s="1" t="s">
        <v>13</v>
      </c>
      <c r="I248" s="1" t="s">
        <v>19</v>
      </c>
      <c r="J248">
        <v>4</v>
      </c>
      <c r="K248" t="s">
        <v>49</v>
      </c>
      <c r="L248" t="s">
        <v>58</v>
      </c>
      <c r="M248" t="s">
        <v>51</v>
      </c>
    </row>
    <row r="249" spans="1:13" x14ac:dyDescent="0.35">
      <c r="A249">
        <v>252</v>
      </c>
      <c r="B249">
        <v>58</v>
      </c>
      <c r="C249" s="1" t="s">
        <v>15</v>
      </c>
      <c r="D249" s="1" t="s">
        <v>38</v>
      </c>
      <c r="E249" s="1" t="s">
        <v>39</v>
      </c>
      <c r="F249">
        <v>20000</v>
      </c>
      <c r="G249">
        <v>25</v>
      </c>
      <c r="H249" s="1" t="s">
        <v>13</v>
      </c>
      <c r="I249" s="1" t="s">
        <v>14</v>
      </c>
      <c r="J249">
        <v>3</v>
      </c>
      <c r="K249" t="s">
        <v>49</v>
      </c>
      <c r="L249" t="s">
        <v>58</v>
      </c>
      <c r="M249" t="s">
        <v>52</v>
      </c>
    </row>
    <row r="250" spans="1:13" x14ac:dyDescent="0.35">
      <c r="A250">
        <v>253</v>
      </c>
      <c r="B250">
        <v>32</v>
      </c>
      <c r="C250" s="1" t="s">
        <v>10</v>
      </c>
      <c r="D250" s="1" t="s">
        <v>40</v>
      </c>
      <c r="E250" s="1" t="s">
        <v>41</v>
      </c>
      <c r="F250">
        <v>12000</v>
      </c>
      <c r="G250">
        <v>19</v>
      </c>
      <c r="H250" s="1" t="s">
        <v>13</v>
      </c>
      <c r="I250" s="1" t="s">
        <v>14</v>
      </c>
      <c r="J250">
        <v>4</v>
      </c>
      <c r="K250" t="s">
        <v>53</v>
      </c>
      <c r="L250" t="s">
        <v>58</v>
      </c>
      <c r="M250" t="s">
        <v>51</v>
      </c>
    </row>
    <row r="251" spans="1:13" x14ac:dyDescent="0.35">
      <c r="A251">
        <v>254</v>
      </c>
      <c r="B251">
        <v>55</v>
      </c>
      <c r="C251" s="1" t="s">
        <v>15</v>
      </c>
      <c r="D251" s="1" t="s">
        <v>42</v>
      </c>
      <c r="E251" s="1" t="s">
        <v>43</v>
      </c>
      <c r="F251">
        <v>6000</v>
      </c>
      <c r="G251">
        <v>20</v>
      </c>
      <c r="H251" s="1" t="s">
        <v>13</v>
      </c>
      <c r="I251" s="1" t="s">
        <v>14</v>
      </c>
      <c r="J251">
        <v>3</v>
      </c>
      <c r="K251" t="s">
        <v>49</v>
      </c>
      <c r="L251" t="s">
        <v>58</v>
      </c>
      <c r="M251" t="s">
        <v>52</v>
      </c>
    </row>
    <row r="252" spans="1:13" x14ac:dyDescent="0.35">
      <c r="A252">
        <v>255</v>
      </c>
      <c r="B252">
        <v>65</v>
      </c>
      <c r="C252" s="1" t="s">
        <v>10</v>
      </c>
      <c r="D252" s="1" t="s">
        <v>44</v>
      </c>
      <c r="E252" s="1" t="s">
        <v>45</v>
      </c>
      <c r="F252">
        <v>4000</v>
      </c>
      <c r="G252">
        <v>21</v>
      </c>
      <c r="H252" s="1" t="s">
        <v>13</v>
      </c>
      <c r="I252" s="1" t="s">
        <v>19</v>
      </c>
      <c r="J252">
        <v>4</v>
      </c>
      <c r="K252" t="s">
        <v>55</v>
      </c>
      <c r="L252" t="s">
        <v>58</v>
      </c>
      <c r="M252" t="s">
        <v>51</v>
      </c>
    </row>
    <row r="253" spans="1:13" x14ac:dyDescent="0.35">
      <c r="A253">
        <v>256</v>
      </c>
      <c r="B253">
        <v>55</v>
      </c>
      <c r="C253" s="1" t="s">
        <v>10</v>
      </c>
      <c r="D253" s="1" t="s">
        <v>11</v>
      </c>
      <c r="E253" s="1" t="s">
        <v>12</v>
      </c>
      <c r="F253">
        <v>15000</v>
      </c>
      <c r="G253">
        <v>22</v>
      </c>
      <c r="H253" s="1" t="s">
        <v>18</v>
      </c>
      <c r="I253" s="1" t="s">
        <v>14</v>
      </c>
      <c r="J253">
        <v>3</v>
      </c>
      <c r="K253" t="s">
        <v>49</v>
      </c>
      <c r="L253" t="s">
        <v>58</v>
      </c>
      <c r="M253" t="s">
        <v>52</v>
      </c>
    </row>
    <row r="254" spans="1:13" x14ac:dyDescent="0.35">
      <c r="A254">
        <v>257</v>
      </c>
      <c r="B254">
        <v>62</v>
      </c>
      <c r="C254" s="1" t="s">
        <v>15</v>
      </c>
      <c r="D254" s="1" t="s">
        <v>16</v>
      </c>
      <c r="E254" s="1" t="s">
        <v>17</v>
      </c>
      <c r="F254">
        <v>2000</v>
      </c>
      <c r="G254">
        <v>20</v>
      </c>
      <c r="H254" s="1" t="s">
        <v>13</v>
      </c>
      <c r="I254" s="1" t="s">
        <v>19</v>
      </c>
      <c r="J254">
        <v>4</v>
      </c>
      <c r="K254" t="s">
        <v>55</v>
      </c>
      <c r="L254" t="s">
        <v>58</v>
      </c>
      <c r="M254" t="s">
        <v>51</v>
      </c>
    </row>
    <row r="255" spans="1:13" x14ac:dyDescent="0.35">
      <c r="A255">
        <v>258</v>
      </c>
      <c r="B255">
        <v>35</v>
      </c>
      <c r="C255" s="1" t="s">
        <v>10</v>
      </c>
      <c r="D255" s="1" t="s">
        <v>20</v>
      </c>
      <c r="E255" s="1" t="s">
        <v>21</v>
      </c>
      <c r="F255">
        <v>500</v>
      </c>
      <c r="G255">
        <v>18</v>
      </c>
      <c r="H255" s="1" t="s">
        <v>18</v>
      </c>
      <c r="I255" s="1" t="s">
        <v>14</v>
      </c>
      <c r="J255">
        <v>5</v>
      </c>
      <c r="K255" t="s">
        <v>53</v>
      </c>
      <c r="L255" t="s">
        <v>58</v>
      </c>
      <c r="M255" t="s">
        <v>51</v>
      </c>
    </row>
    <row r="256" spans="1:13" x14ac:dyDescent="0.35">
      <c r="A256">
        <v>259</v>
      </c>
      <c r="B256">
        <v>78</v>
      </c>
      <c r="C256" s="1" t="s">
        <v>15</v>
      </c>
      <c r="D256" s="1" t="s">
        <v>22</v>
      </c>
      <c r="E256" s="1" t="s">
        <v>23</v>
      </c>
      <c r="F256">
        <v>10000</v>
      </c>
      <c r="G256">
        <v>24</v>
      </c>
      <c r="H256" s="1" t="s">
        <v>13</v>
      </c>
      <c r="I256" s="1" t="s">
        <v>19</v>
      </c>
      <c r="J256">
        <v>2</v>
      </c>
      <c r="K256" t="s">
        <v>55</v>
      </c>
      <c r="L256" t="s">
        <v>58</v>
      </c>
      <c r="M256" t="s">
        <v>57</v>
      </c>
    </row>
    <row r="257" spans="1:13" x14ac:dyDescent="0.35">
      <c r="A257">
        <v>260</v>
      </c>
      <c r="B257">
        <v>53</v>
      </c>
      <c r="C257" s="1" t="s">
        <v>10</v>
      </c>
      <c r="D257" s="1" t="s">
        <v>24</v>
      </c>
      <c r="E257" s="1" t="s">
        <v>25</v>
      </c>
      <c r="F257">
        <v>25000</v>
      </c>
      <c r="G257">
        <v>27</v>
      </c>
      <c r="H257" s="1" t="s">
        <v>18</v>
      </c>
      <c r="I257" s="1" t="s">
        <v>14</v>
      </c>
      <c r="J257">
        <v>4</v>
      </c>
      <c r="K257" t="s">
        <v>49</v>
      </c>
      <c r="L257" t="s">
        <v>58</v>
      </c>
      <c r="M257" t="s">
        <v>51</v>
      </c>
    </row>
    <row r="258" spans="1:13" x14ac:dyDescent="0.35">
      <c r="A258">
        <v>261</v>
      </c>
      <c r="B258">
        <v>72</v>
      </c>
      <c r="C258" s="1" t="s">
        <v>15</v>
      </c>
      <c r="D258" s="1" t="s">
        <v>26</v>
      </c>
      <c r="E258" s="1" t="s">
        <v>27</v>
      </c>
      <c r="F258">
        <v>1000</v>
      </c>
      <c r="G258">
        <v>19</v>
      </c>
      <c r="H258" s="1" t="s">
        <v>13</v>
      </c>
      <c r="I258" s="1" t="s">
        <v>19</v>
      </c>
      <c r="J258">
        <v>4</v>
      </c>
      <c r="K258" t="s">
        <v>55</v>
      </c>
      <c r="L258" t="s">
        <v>58</v>
      </c>
      <c r="M258" t="s">
        <v>51</v>
      </c>
    </row>
    <row r="259" spans="1:13" x14ac:dyDescent="0.35">
      <c r="A259">
        <v>262</v>
      </c>
      <c r="B259">
        <v>60</v>
      </c>
      <c r="C259" s="1" t="s">
        <v>10</v>
      </c>
      <c r="D259" s="1" t="s">
        <v>28</v>
      </c>
      <c r="E259" s="1" t="s">
        <v>29</v>
      </c>
      <c r="F259">
        <v>8000</v>
      </c>
      <c r="G259">
        <v>21</v>
      </c>
      <c r="H259" s="1" t="s">
        <v>18</v>
      </c>
      <c r="I259" s="1" t="s">
        <v>14</v>
      </c>
      <c r="J259">
        <v>3</v>
      </c>
      <c r="K259" t="s">
        <v>49</v>
      </c>
      <c r="L259" t="s">
        <v>58</v>
      </c>
      <c r="M259" t="s">
        <v>52</v>
      </c>
    </row>
    <row r="260" spans="1:13" x14ac:dyDescent="0.35">
      <c r="A260">
        <v>263</v>
      </c>
      <c r="B260">
        <v>45</v>
      </c>
      <c r="C260" s="1" t="s">
        <v>15</v>
      </c>
      <c r="D260" s="1" t="s">
        <v>30</v>
      </c>
      <c r="E260" s="1" t="s">
        <v>31</v>
      </c>
      <c r="F260">
        <v>3000</v>
      </c>
      <c r="G260">
        <v>23</v>
      </c>
      <c r="H260" s="1" t="s">
        <v>13</v>
      </c>
      <c r="I260" s="1" t="s">
        <v>14</v>
      </c>
      <c r="J260">
        <v>4</v>
      </c>
      <c r="K260" t="s">
        <v>49</v>
      </c>
      <c r="L260" t="s">
        <v>58</v>
      </c>
      <c r="M260" t="s">
        <v>51</v>
      </c>
    </row>
    <row r="261" spans="1:13" x14ac:dyDescent="0.35">
      <c r="A261">
        <v>264</v>
      </c>
      <c r="B261">
        <v>75</v>
      </c>
      <c r="C261" s="1" t="s">
        <v>10</v>
      </c>
      <c r="D261" s="1" t="s">
        <v>32</v>
      </c>
      <c r="E261" s="1" t="s">
        <v>33</v>
      </c>
      <c r="F261">
        <v>18000</v>
      </c>
      <c r="G261">
        <v>25</v>
      </c>
      <c r="H261" s="1" t="s">
        <v>18</v>
      </c>
      <c r="I261" s="1" t="s">
        <v>19</v>
      </c>
      <c r="J261">
        <v>2</v>
      </c>
      <c r="K261" t="s">
        <v>55</v>
      </c>
      <c r="L261" t="s">
        <v>58</v>
      </c>
      <c r="M261" t="s">
        <v>57</v>
      </c>
    </row>
    <row r="262" spans="1:13" x14ac:dyDescent="0.35">
      <c r="A262">
        <v>265</v>
      </c>
      <c r="B262">
        <v>28</v>
      </c>
      <c r="C262" s="1" t="s">
        <v>15</v>
      </c>
      <c r="D262" s="1" t="s">
        <v>34</v>
      </c>
      <c r="E262" s="1" t="s">
        <v>35</v>
      </c>
      <c r="F262">
        <v>100</v>
      </c>
      <c r="G262">
        <v>18</v>
      </c>
      <c r="H262" s="1" t="s">
        <v>13</v>
      </c>
      <c r="I262" s="1" t="s">
        <v>14</v>
      </c>
      <c r="J262">
        <v>5</v>
      </c>
      <c r="K262" t="s">
        <v>53</v>
      </c>
      <c r="L262" t="s">
        <v>58</v>
      </c>
      <c r="M262" t="s">
        <v>51</v>
      </c>
    </row>
    <row r="263" spans="1:13" x14ac:dyDescent="0.35">
      <c r="A263">
        <v>266</v>
      </c>
      <c r="B263">
        <v>52</v>
      </c>
      <c r="C263" s="1" t="s">
        <v>10</v>
      </c>
      <c r="D263" s="1" t="s">
        <v>36</v>
      </c>
      <c r="E263" s="1" t="s">
        <v>37</v>
      </c>
      <c r="F263">
        <v>800</v>
      </c>
      <c r="G263">
        <v>19</v>
      </c>
      <c r="H263" s="1" t="s">
        <v>13</v>
      </c>
      <c r="I263" s="1" t="s">
        <v>19</v>
      </c>
      <c r="J263">
        <v>4</v>
      </c>
      <c r="K263" t="s">
        <v>49</v>
      </c>
      <c r="L263" t="s">
        <v>58</v>
      </c>
      <c r="M263" t="s">
        <v>51</v>
      </c>
    </row>
    <row r="264" spans="1:13" x14ac:dyDescent="0.35">
      <c r="A264">
        <v>267</v>
      </c>
      <c r="B264">
        <v>67</v>
      </c>
      <c r="C264" s="1" t="s">
        <v>15</v>
      </c>
      <c r="D264" s="1" t="s">
        <v>38</v>
      </c>
      <c r="E264" s="1" t="s">
        <v>39</v>
      </c>
      <c r="F264">
        <v>20000</v>
      </c>
      <c r="G264">
        <v>26</v>
      </c>
      <c r="H264" s="1" t="s">
        <v>13</v>
      </c>
      <c r="I264" s="1" t="s">
        <v>14</v>
      </c>
      <c r="J264">
        <v>3</v>
      </c>
      <c r="K264" t="s">
        <v>55</v>
      </c>
      <c r="L264" t="s">
        <v>58</v>
      </c>
      <c r="M264" t="s">
        <v>52</v>
      </c>
    </row>
    <row r="265" spans="1:13" x14ac:dyDescent="0.35">
      <c r="A265">
        <v>268</v>
      </c>
      <c r="B265">
        <v>35</v>
      </c>
      <c r="C265" s="1" t="s">
        <v>10</v>
      </c>
      <c r="D265" s="1" t="s">
        <v>40</v>
      </c>
      <c r="E265" s="1" t="s">
        <v>41</v>
      </c>
      <c r="F265">
        <v>12000</v>
      </c>
      <c r="G265">
        <v>20</v>
      </c>
      <c r="H265" s="1" t="s">
        <v>13</v>
      </c>
      <c r="I265" s="1" t="s">
        <v>14</v>
      </c>
      <c r="J265">
        <v>4</v>
      </c>
      <c r="K265" t="s">
        <v>53</v>
      </c>
      <c r="L265" t="s">
        <v>58</v>
      </c>
      <c r="M265" t="s">
        <v>51</v>
      </c>
    </row>
    <row r="266" spans="1:13" x14ac:dyDescent="0.35">
      <c r="A266">
        <v>269</v>
      </c>
      <c r="B266">
        <v>50</v>
      </c>
      <c r="C266" s="1" t="s">
        <v>15</v>
      </c>
      <c r="D266" s="1" t="s">
        <v>42</v>
      </c>
      <c r="E266" s="1" t="s">
        <v>43</v>
      </c>
      <c r="F266">
        <v>6000</v>
      </c>
      <c r="G266">
        <v>21</v>
      </c>
      <c r="H266" s="1" t="s">
        <v>13</v>
      </c>
      <c r="I266" s="1" t="s">
        <v>14</v>
      </c>
      <c r="J266">
        <v>3</v>
      </c>
      <c r="K266" t="s">
        <v>49</v>
      </c>
      <c r="L266" t="s">
        <v>58</v>
      </c>
      <c r="M266" t="s">
        <v>52</v>
      </c>
    </row>
    <row r="267" spans="1:13" x14ac:dyDescent="0.35">
      <c r="A267">
        <v>270</v>
      </c>
      <c r="B267">
        <v>60</v>
      </c>
      <c r="C267" s="1" t="s">
        <v>10</v>
      </c>
      <c r="D267" s="1" t="s">
        <v>44</v>
      </c>
      <c r="E267" s="1" t="s">
        <v>45</v>
      </c>
      <c r="F267">
        <v>4000</v>
      </c>
      <c r="G267">
        <v>22</v>
      </c>
      <c r="H267" s="1" t="s">
        <v>13</v>
      </c>
      <c r="I267" s="1" t="s">
        <v>19</v>
      </c>
      <c r="J267">
        <v>4</v>
      </c>
      <c r="K267" t="s">
        <v>49</v>
      </c>
      <c r="L267" t="s">
        <v>58</v>
      </c>
      <c r="M267" t="s">
        <v>51</v>
      </c>
    </row>
    <row r="268" spans="1:13" x14ac:dyDescent="0.35">
      <c r="A268">
        <v>271</v>
      </c>
      <c r="B268">
        <v>48</v>
      </c>
      <c r="C268" s="1" t="s">
        <v>10</v>
      </c>
      <c r="D268" s="1" t="s">
        <v>11</v>
      </c>
      <c r="E268" s="1" t="s">
        <v>12</v>
      </c>
      <c r="F268">
        <v>15000</v>
      </c>
      <c r="G268">
        <v>23</v>
      </c>
      <c r="H268" s="1" t="s">
        <v>18</v>
      </c>
      <c r="I268" s="1" t="s">
        <v>14</v>
      </c>
      <c r="J268">
        <v>4</v>
      </c>
      <c r="K268" t="s">
        <v>49</v>
      </c>
      <c r="L268" t="s">
        <v>58</v>
      </c>
      <c r="M268" t="s">
        <v>51</v>
      </c>
    </row>
    <row r="269" spans="1:13" x14ac:dyDescent="0.35">
      <c r="A269">
        <v>272</v>
      </c>
      <c r="B269">
        <v>65</v>
      </c>
      <c r="C269" s="1" t="s">
        <v>15</v>
      </c>
      <c r="D269" s="1" t="s">
        <v>16</v>
      </c>
      <c r="E269" s="1" t="s">
        <v>17</v>
      </c>
      <c r="F269">
        <v>2000</v>
      </c>
      <c r="G269">
        <v>21</v>
      </c>
      <c r="H269" s="1" t="s">
        <v>13</v>
      </c>
      <c r="I269" s="1" t="s">
        <v>19</v>
      </c>
      <c r="J269">
        <v>3</v>
      </c>
      <c r="K269" t="s">
        <v>55</v>
      </c>
      <c r="L269" t="s">
        <v>58</v>
      </c>
      <c r="M269" t="s">
        <v>52</v>
      </c>
    </row>
    <row r="270" spans="1:13" x14ac:dyDescent="0.35">
      <c r="A270">
        <v>273</v>
      </c>
      <c r="B270">
        <v>30</v>
      </c>
      <c r="C270" s="1" t="s">
        <v>10</v>
      </c>
      <c r="D270" s="1" t="s">
        <v>20</v>
      </c>
      <c r="E270" s="1" t="s">
        <v>21</v>
      </c>
      <c r="F270">
        <v>500</v>
      </c>
      <c r="G270">
        <v>19</v>
      </c>
      <c r="H270" s="1" t="s">
        <v>13</v>
      </c>
      <c r="I270" s="1" t="s">
        <v>14</v>
      </c>
      <c r="J270">
        <v>5</v>
      </c>
      <c r="K270" t="s">
        <v>53</v>
      </c>
      <c r="L270" t="s">
        <v>58</v>
      </c>
      <c r="M270" t="s">
        <v>51</v>
      </c>
    </row>
    <row r="271" spans="1:13" x14ac:dyDescent="0.35">
      <c r="A271">
        <v>274</v>
      </c>
      <c r="B271">
        <v>70</v>
      </c>
      <c r="C271" s="1" t="s">
        <v>15</v>
      </c>
      <c r="D271" s="1" t="s">
        <v>22</v>
      </c>
      <c r="E271" s="1" t="s">
        <v>23</v>
      </c>
      <c r="F271">
        <v>10000</v>
      </c>
      <c r="G271">
        <v>25</v>
      </c>
      <c r="H271" s="1" t="s">
        <v>18</v>
      </c>
      <c r="I271" s="1" t="s">
        <v>19</v>
      </c>
      <c r="J271">
        <v>2</v>
      </c>
      <c r="K271" t="s">
        <v>55</v>
      </c>
      <c r="L271" t="s">
        <v>58</v>
      </c>
      <c r="M271" t="s">
        <v>57</v>
      </c>
    </row>
    <row r="272" spans="1:13" x14ac:dyDescent="0.35">
      <c r="A272">
        <v>275</v>
      </c>
      <c r="B272">
        <v>55</v>
      </c>
      <c r="C272" s="1" t="s">
        <v>10</v>
      </c>
      <c r="D272" s="1" t="s">
        <v>24</v>
      </c>
      <c r="E272" s="1" t="s">
        <v>25</v>
      </c>
      <c r="F272">
        <v>25000</v>
      </c>
      <c r="G272">
        <v>28</v>
      </c>
      <c r="H272" s="1" t="s">
        <v>13</v>
      </c>
      <c r="I272" s="1" t="s">
        <v>14</v>
      </c>
      <c r="J272">
        <v>4</v>
      </c>
      <c r="K272" t="s">
        <v>49</v>
      </c>
      <c r="L272" t="s">
        <v>58</v>
      </c>
      <c r="M272" t="s">
        <v>51</v>
      </c>
    </row>
    <row r="273" spans="1:13" x14ac:dyDescent="0.35">
      <c r="A273">
        <v>276</v>
      </c>
      <c r="B273">
        <v>68</v>
      </c>
      <c r="C273" s="1" t="s">
        <v>15</v>
      </c>
      <c r="D273" s="1" t="s">
        <v>26</v>
      </c>
      <c r="E273" s="1" t="s">
        <v>27</v>
      </c>
      <c r="F273">
        <v>1000</v>
      </c>
      <c r="G273">
        <v>20</v>
      </c>
      <c r="H273" s="1" t="s">
        <v>13</v>
      </c>
      <c r="I273" s="1" t="s">
        <v>19</v>
      </c>
      <c r="J273">
        <v>4</v>
      </c>
      <c r="K273" t="s">
        <v>55</v>
      </c>
      <c r="L273" t="s">
        <v>58</v>
      </c>
      <c r="M273" t="s">
        <v>51</v>
      </c>
    </row>
    <row r="274" spans="1:13" x14ac:dyDescent="0.35">
      <c r="A274">
        <v>277</v>
      </c>
      <c r="B274">
        <v>45</v>
      </c>
      <c r="C274" s="1" t="s">
        <v>10</v>
      </c>
      <c r="D274" s="1" t="s">
        <v>28</v>
      </c>
      <c r="E274" s="1" t="s">
        <v>29</v>
      </c>
      <c r="F274">
        <v>8000</v>
      </c>
      <c r="G274">
        <v>22</v>
      </c>
      <c r="H274" s="1" t="s">
        <v>13</v>
      </c>
      <c r="I274" s="1" t="s">
        <v>14</v>
      </c>
      <c r="J274">
        <v>3</v>
      </c>
      <c r="K274" t="s">
        <v>49</v>
      </c>
      <c r="L274" t="s">
        <v>58</v>
      </c>
      <c r="M274" t="s">
        <v>52</v>
      </c>
    </row>
    <row r="275" spans="1:13" x14ac:dyDescent="0.35">
      <c r="A275">
        <v>278</v>
      </c>
      <c r="B275">
        <v>40</v>
      </c>
      <c r="C275" s="1" t="s">
        <v>15</v>
      </c>
      <c r="D275" s="1" t="s">
        <v>30</v>
      </c>
      <c r="E275" s="1" t="s">
        <v>31</v>
      </c>
      <c r="F275">
        <v>3000</v>
      </c>
      <c r="G275">
        <v>24</v>
      </c>
      <c r="H275" s="1" t="s">
        <v>13</v>
      </c>
      <c r="I275" s="1" t="s">
        <v>14</v>
      </c>
      <c r="J275">
        <v>4</v>
      </c>
      <c r="K275" t="s">
        <v>49</v>
      </c>
      <c r="L275" t="s">
        <v>58</v>
      </c>
      <c r="M275" t="s">
        <v>51</v>
      </c>
    </row>
    <row r="276" spans="1:13" x14ac:dyDescent="0.35">
      <c r="A276">
        <v>279</v>
      </c>
      <c r="B276">
        <v>78</v>
      </c>
      <c r="C276" s="1" t="s">
        <v>10</v>
      </c>
      <c r="D276" s="1" t="s">
        <v>32</v>
      </c>
      <c r="E276" s="1" t="s">
        <v>33</v>
      </c>
      <c r="F276">
        <v>18000</v>
      </c>
      <c r="G276">
        <v>26</v>
      </c>
      <c r="H276" s="1" t="s">
        <v>18</v>
      </c>
      <c r="I276" s="1" t="s">
        <v>19</v>
      </c>
      <c r="J276">
        <v>2</v>
      </c>
      <c r="K276" t="s">
        <v>55</v>
      </c>
      <c r="L276" t="s">
        <v>58</v>
      </c>
      <c r="M276" t="s">
        <v>57</v>
      </c>
    </row>
    <row r="277" spans="1:13" x14ac:dyDescent="0.35">
      <c r="A277">
        <v>280</v>
      </c>
      <c r="B277">
        <v>25</v>
      </c>
      <c r="C277" s="1" t="s">
        <v>15</v>
      </c>
      <c r="D277" s="1" t="s">
        <v>34</v>
      </c>
      <c r="E277" s="1" t="s">
        <v>35</v>
      </c>
      <c r="F277">
        <v>100</v>
      </c>
      <c r="G277">
        <v>19</v>
      </c>
      <c r="H277" s="1" t="s">
        <v>13</v>
      </c>
      <c r="I277" s="1" t="s">
        <v>14</v>
      </c>
      <c r="J277">
        <v>5</v>
      </c>
      <c r="K277" t="s">
        <v>53</v>
      </c>
      <c r="L277" t="s">
        <v>58</v>
      </c>
      <c r="M277" t="s">
        <v>51</v>
      </c>
    </row>
    <row r="278" spans="1:13" x14ac:dyDescent="0.35">
      <c r="A278">
        <v>281</v>
      </c>
      <c r="B278">
        <v>52</v>
      </c>
      <c r="C278" s="1" t="s">
        <v>10</v>
      </c>
      <c r="D278" s="1" t="s">
        <v>36</v>
      </c>
      <c r="E278" s="1" t="s">
        <v>37</v>
      </c>
      <c r="F278">
        <v>800</v>
      </c>
      <c r="G278">
        <v>20</v>
      </c>
      <c r="H278" s="1" t="s">
        <v>13</v>
      </c>
      <c r="I278" s="1" t="s">
        <v>19</v>
      </c>
      <c r="J278">
        <v>4</v>
      </c>
      <c r="K278" t="s">
        <v>49</v>
      </c>
      <c r="L278" t="s">
        <v>58</v>
      </c>
      <c r="M278" t="s">
        <v>51</v>
      </c>
    </row>
    <row r="279" spans="1:13" x14ac:dyDescent="0.35">
      <c r="A279">
        <v>282</v>
      </c>
      <c r="B279">
        <v>58</v>
      </c>
      <c r="C279" s="1" t="s">
        <v>15</v>
      </c>
      <c r="D279" s="1" t="s">
        <v>38</v>
      </c>
      <c r="E279" s="1" t="s">
        <v>39</v>
      </c>
      <c r="F279">
        <v>20000</v>
      </c>
      <c r="G279">
        <v>27</v>
      </c>
      <c r="H279" s="1" t="s">
        <v>13</v>
      </c>
      <c r="I279" s="1" t="s">
        <v>14</v>
      </c>
      <c r="J279">
        <v>3</v>
      </c>
      <c r="K279" t="s">
        <v>49</v>
      </c>
      <c r="L279" t="s">
        <v>58</v>
      </c>
      <c r="M279" t="s">
        <v>52</v>
      </c>
    </row>
    <row r="280" spans="1:13" x14ac:dyDescent="0.35">
      <c r="A280">
        <v>283</v>
      </c>
      <c r="B280">
        <v>32</v>
      </c>
      <c r="C280" s="1" t="s">
        <v>10</v>
      </c>
      <c r="D280" s="1" t="s">
        <v>40</v>
      </c>
      <c r="E280" s="1" t="s">
        <v>41</v>
      </c>
      <c r="F280">
        <v>12000</v>
      </c>
      <c r="G280">
        <v>21</v>
      </c>
      <c r="H280" s="1" t="s">
        <v>13</v>
      </c>
      <c r="I280" s="1" t="s">
        <v>14</v>
      </c>
      <c r="J280">
        <v>4</v>
      </c>
      <c r="K280" t="s">
        <v>53</v>
      </c>
      <c r="L280" t="s">
        <v>58</v>
      </c>
      <c r="M280" t="s">
        <v>51</v>
      </c>
    </row>
    <row r="281" spans="1:13" x14ac:dyDescent="0.35">
      <c r="A281">
        <v>284</v>
      </c>
      <c r="B281">
        <v>55</v>
      </c>
      <c r="C281" s="1" t="s">
        <v>15</v>
      </c>
      <c r="D281" s="1" t="s">
        <v>42</v>
      </c>
      <c r="E281" s="1" t="s">
        <v>43</v>
      </c>
      <c r="F281">
        <v>6000</v>
      </c>
      <c r="G281">
        <v>22</v>
      </c>
      <c r="H281" s="1" t="s">
        <v>13</v>
      </c>
      <c r="I281" s="1" t="s">
        <v>14</v>
      </c>
      <c r="J281">
        <v>3</v>
      </c>
      <c r="K281" t="s">
        <v>49</v>
      </c>
      <c r="L281" t="s">
        <v>58</v>
      </c>
      <c r="M281" t="s">
        <v>52</v>
      </c>
    </row>
    <row r="282" spans="1:13" x14ac:dyDescent="0.35">
      <c r="A282">
        <v>285</v>
      </c>
      <c r="B282">
        <v>65</v>
      </c>
      <c r="C282" s="1" t="s">
        <v>10</v>
      </c>
      <c r="D282" s="1" t="s">
        <v>44</v>
      </c>
      <c r="E282" s="1" t="s">
        <v>45</v>
      </c>
      <c r="F282">
        <v>4000</v>
      </c>
      <c r="G282">
        <v>23</v>
      </c>
      <c r="H282" s="1" t="s">
        <v>13</v>
      </c>
      <c r="I282" s="1" t="s">
        <v>19</v>
      </c>
      <c r="J282">
        <v>4</v>
      </c>
      <c r="K282" t="s">
        <v>55</v>
      </c>
      <c r="L282" t="s">
        <v>58</v>
      </c>
      <c r="M282" t="s">
        <v>51</v>
      </c>
    </row>
    <row r="283" spans="1:13" x14ac:dyDescent="0.35">
      <c r="A283">
        <v>286</v>
      </c>
      <c r="B283">
        <v>55</v>
      </c>
      <c r="C283" s="1" t="s">
        <v>10</v>
      </c>
      <c r="D283" s="1" t="s">
        <v>11</v>
      </c>
      <c r="E283" s="1" t="s">
        <v>12</v>
      </c>
      <c r="F283">
        <v>15000</v>
      </c>
      <c r="G283">
        <v>24</v>
      </c>
      <c r="H283" s="1" t="s">
        <v>18</v>
      </c>
      <c r="I283" s="1" t="s">
        <v>14</v>
      </c>
      <c r="J283">
        <v>3</v>
      </c>
      <c r="K283" t="s">
        <v>49</v>
      </c>
      <c r="L283" t="s">
        <v>58</v>
      </c>
      <c r="M283" t="s">
        <v>52</v>
      </c>
    </row>
    <row r="284" spans="1:13" x14ac:dyDescent="0.35">
      <c r="A284">
        <v>287</v>
      </c>
      <c r="B284">
        <v>62</v>
      </c>
      <c r="C284" s="1" t="s">
        <v>15</v>
      </c>
      <c r="D284" s="1" t="s">
        <v>16</v>
      </c>
      <c r="E284" s="1" t="s">
        <v>17</v>
      </c>
      <c r="F284">
        <v>2000</v>
      </c>
      <c r="G284">
        <v>22</v>
      </c>
      <c r="H284" s="1" t="s">
        <v>13</v>
      </c>
      <c r="I284" s="1" t="s">
        <v>19</v>
      </c>
      <c r="J284">
        <v>4</v>
      </c>
      <c r="K284" t="s">
        <v>55</v>
      </c>
      <c r="L284" t="s">
        <v>58</v>
      </c>
      <c r="M284" t="s">
        <v>51</v>
      </c>
    </row>
    <row r="285" spans="1:13" x14ac:dyDescent="0.35">
      <c r="A285">
        <v>288</v>
      </c>
      <c r="B285">
        <v>35</v>
      </c>
      <c r="C285" s="1" t="s">
        <v>10</v>
      </c>
      <c r="D285" s="1" t="s">
        <v>20</v>
      </c>
      <c r="E285" s="1" t="s">
        <v>21</v>
      </c>
      <c r="F285">
        <v>500</v>
      </c>
      <c r="G285">
        <v>20</v>
      </c>
      <c r="H285" s="1" t="s">
        <v>18</v>
      </c>
      <c r="I285" s="1" t="s">
        <v>14</v>
      </c>
      <c r="J285">
        <v>5</v>
      </c>
      <c r="K285" t="s">
        <v>53</v>
      </c>
      <c r="L285" t="s">
        <v>58</v>
      </c>
      <c r="M285" t="s">
        <v>51</v>
      </c>
    </row>
    <row r="286" spans="1:13" x14ac:dyDescent="0.35">
      <c r="A286">
        <v>289</v>
      </c>
      <c r="B286">
        <v>78</v>
      </c>
      <c r="C286" s="1" t="s">
        <v>15</v>
      </c>
      <c r="D286" s="1" t="s">
        <v>22</v>
      </c>
      <c r="E286" s="1" t="s">
        <v>23</v>
      </c>
      <c r="F286">
        <v>10000</v>
      </c>
      <c r="G286">
        <v>26</v>
      </c>
      <c r="H286" s="1" t="s">
        <v>13</v>
      </c>
      <c r="I286" s="1" t="s">
        <v>19</v>
      </c>
      <c r="J286">
        <v>2</v>
      </c>
      <c r="K286" t="s">
        <v>55</v>
      </c>
      <c r="L286" t="s">
        <v>58</v>
      </c>
      <c r="M286" t="s">
        <v>57</v>
      </c>
    </row>
    <row r="287" spans="1:13" x14ac:dyDescent="0.35">
      <c r="A287">
        <v>290</v>
      </c>
      <c r="B287">
        <v>53</v>
      </c>
      <c r="C287" s="1" t="s">
        <v>10</v>
      </c>
      <c r="D287" s="1" t="s">
        <v>24</v>
      </c>
      <c r="E287" s="1" t="s">
        <v>25</v>
      </c>
      <c r="F287">
        <v>25000</v>
      </c>
      <c r="G287">
        <v>29</v>
      </c>
      <c r="H287" s="1" t="s">
        <v>18</v>
      </c>
      <c r="I287" s="1" t="s">
        <v>14</v>
      </c>
      <c r="J287">
        <v>4</v>
      </c>
      <c r="K287" t="s">
        <v>49</v>
      </c>
      <c r="L287" t="s">
        <v>58</v>
      </c>
      <c r="M287" t="s">
        <v>51</v>
      </c>
    </row>
    <row r="288" spans="1:13" x14ac:dyDescent="0.35">
      <c r="A288">
        <v>291</v>
      </c>
      <c r="B288">
        <v>72</v>
      </c>
      <c r="C288" s="1" t="s">
        <v>15</v>
      </c>
      <c r="D288" s="1" t="s">
        <v>26</v>
      </c>
      <c r="E288" s="1" t="s">
        <v>27</v>
      </c>
      <c r="F288">
        <v>1000</v>
      </c>
      <c r="G288">
        <v>21</v>
      </c>
      <c r="H288" s="1" t="s">
        <v>13</v>
      </c>
      <c r="I288" s="1" t="s">
        <v>19</v>
      </c>
      <c r="J288">
        <v>4</v>
      </c>
      <c r="K288" t="s">
        <v>55</v>
      </c>
      <c r="L288" t="s">
        <v>58</v>
      </c>
      <c r="M288" t="s">
        <v>51</v>
      </c>
    </row>
    <row r="289" spans="1:13" x14ac:dyDescent="0.35">
      <c r="A289">
        <v>292</v>
      </c>
      <c r="B289">
        <v>60</v>
      </c>
      <c r="C289" s="1" t="s">
        <v>10</v>
      </c>
      <c r="D289" s="1" t="s">
        <v>28</v>
      </c>
      <c r="E289" s="1" t="s">
        <v>29</v>
      </c>
      <c r="F289">
        <v>8000</v>
      </c>
      <c r="G289">
        <v>23</v>
      </c>
      <c r="H289" s="1" t="s">
        <v>18</v>
      </c>
      <c r="I289" s="1" t="s">
        <v>14</v>
      </c>
      <c r="J289">
        <v>3</v>
      </c>
      <c r="K289" t="s">
        <v>49</v>
      </c>
      <c r="L289" t="s">
        <v>58</v>
      </c>
      <c r="M289" t="s">
        <v>52</v>
      </c>
    </row>
    <row r="290" spans="1:13" x14ac:dyDescent="0.35">
      <c r="A290">
        <v>293</v>
      </c>
      <c r="B290">
        <v>45</v>
      </c>
      <c r="C290" s="1" t="s">
        <v>15</v>
      </c>
      <c r="D290" s="1" t="s">
        <v>30</v>
      </c>
      <c r="E290" s="1" t="s">
        <v>31</v>
      </c>
      <c r="F290">
        <v>3000</v>
      </c>
      <c r="G290">
        <v>25</v>
      </c>
      <c r="H290" s="1" t="s">
        <v>13</v>
      </c>
      <c r="I290" s="1" t="s">
        <v>14</v>
      </c>
      <c r="J290">
        <v>4</v>
      </c>
      <c r="K290" t="s">
        <v>49</v>
      </c>
      <c r="L290" t="s">
        <v>58</v>
      </c>
      <c r="M290" t="s">
        <v>51</v>
      </c>
    </row>
    <row r="291" spans="1:13" x14ac:dyDescent="0.35">
      <c r="A291">
        <v>294</v>
      </c>
      <c r="B291">
        <v>75</v>
      </c>
      <c r="C291" s="1" t="s">
        <v>10</v>
      </c>
      <c r="D291" s="1" t="s">
        <v>32</v>
      </c>
      <c r="E291" s="1" t="s">
        <v>33</v>
      </c>
      <c r="F291">
        <v>18000</v>
      </c>
      <c r="G291">
        <v>27</v>
      </c>
      <c r="H291" s="1" t="s">
        <v>18</v>
      </c>
      <c r="I291" s="1" t="s">
        <v>19</v>
      </c>
      <c r="J291">
        <v>2</v>
      </c>
      <c r="K291" t="s">
        <v>55</v>
      </c>
      <c r="L291" t="s">
        <v>58</v>
      </c>
      <c r="M291" t="s">
        <v>57</v>
      </c>
    </row>
    <row r="292" spans="1:13" x14ac:dyDescent="0.35">
      <c r="A292">
        <v>296</v>
      </c>
      <c r="B292">
        <v>52</v>
      </c>
      <c r="C292" s="1" t="s">
        <v>10</v>
      </c>
      <c r="D292" s="1" t="s">
        <v>36</v>
      </c>
      <c r="E292" s="1" t="s">
        <v>37</v>
      </c>
      <c r="F292">
        <v>800</v>
      </c>
      <c r="G292">
        <v>21</v>
      </c>
      <c r="H292" s="1" t="s">
        <v>13</v>
      </c>
      <c r="I292" s="1" t="s">
        <v>19</v>
      </c>
      <c r="J292">
        <v>4</v>
      </c>
      <c r="K292" t="s">
        <v>49</v>
      </c>
      <c r="L292" t="s">
        <v>58</v>
      </c>
      <c r="M292" t="s">
        <v>51</v>
      </c>
    </row>
    <row r="293" spans="1:13" x14ac:dyDescent="0.35">
      <c r="A293">
        <v>297</v>
      </c>
      <c r="B293">
        <v>67</v>
      </c>
      <c r="C293" s="1" t="s">
        <v>15</v>
      </c>
      <c r="D293" s="1" t="s">
        <v>38</v>
      </c>
      <c r="E293" s="1" t="s">
        <v>39</v>
      </c>
      <c r="F293">
        <v>20000</v>
      </c>
      <c r="G293">
        <v>28</v>
      </c>
      <c r="H293" s="1" t="s">
        <v>13</v>
      </c>
      <c r="I293" s="1" t="s">
        <v>14</v>
      </c>
      <c r="J293">
        <v>3</v>
      </c>
      <c r="K293" t="s">
        <v>55</v>
      </c>
      <c r="L293" t="s">
        <v>58</v>
      </c>
      <c r="M293" t="s">
        <v>52</v>
      </c>
    </row>
    <row r="294" spans="1:13" x14ac:dyDescent="0.35">
      <c r="A294">
        <v>298</v>
      </c>
      <c r="B294">
        <v>35</v>
      </c>
      <c r="C294" s="1" t="s">
        <v>10</v>
      </c>
      <c r="D294" s="1" t="s">
        <v>40</v>
      </c>
      <c r="E294" s="1" t="s">
        <v>41</v>
      </c>
      <c r="F294">
        <v>12000</v>
      </c>
      <c r="G294">
        <v>22</v>
      </c>
      <c r="H294" s="1" t="s">
        <v>13</v>
      </c>
      <c r="I294" s="1" t="s">
        <v>14</v>
      </c>
      <c r="J294">
        <v>4</v>
      </c>
      <c r="K294" t="s">
        <v>53</v>
      </c>
      <c r="L294" t="s">
        <v>58</v>
      </c>
      <c r="M294" t="s">
        <v>51</v>
      </c>
    </row>
    <row r="295" spans="1:13" x14ac:dyDescent="0.35">
      <c r="A295">
        <v>299</v>
      </c>
      <c r="B295">
        <v>50</v>
      </c>
      <c r="C295" s="1" t="s">
        <v>15</v>
      </c>
      <c r="D295" s="1" t="s">
        <v>42</v>
      </c>
      <c r="E295" s="1" t="s">
        <v>43</v>
      </c>
      <c r="F295">
        <v>6000</v>
      </c>
      <c r="G295">
        <v>23</v>
      </c>
      <c r="H295" s="1" t="s">
        <v>13</v>
      </c>
      <c r="I295" s="1" t="s">
        <v>14</v>
      </c>
      <c r="J295">
        <v>3</v>
      </c>
      <c r="K295" t="s">
        <v>49</v>
      </c>
      <c r="L295" t="s">
        <v>58</v>
      </c>
      <c r="M295" t="s">
        <v>52</v>
      </c>
    </row>
    <row r="296" spans="1:13" x14ac:dyDescent="0.35">
      <c r="A296">
        <v>300</v>
      </c>
      <c r="B296">
        <v>60</v>
      </c>
      <c r="C296" s="1" t="s">
        <v>10</v>
      </c>
      <c r="D296" s="1" t="s">
        <v>44</v>
      </c>
      <c r="E296" s="1" t="s">
        <v>45</v>
      </c>
      <c r="F296">
        <v>4000</v>
      </c>
      <c r="G296">
        <v>24</v>
      </c>
      <c r="H296" s="1" t="s">
        <v>13</v>
      </c>
      <c r="I296" s="1" t="s">
        <v>19</v>
      </c>
      <c r="J296">
        <v>4</v>
      </c>
      <c r="K296" t="s">
        <v>49</v>
      </c>
      <c r="L296" t="s">
        <v>58</v>
      </c>
      <c r="M296" t="s">
        <v>51</v>
      </c>
    </row>
    <row r="297" spans="1:13" x14ac:dyDescent="0.35">
      <c r="A297">
        <v>301</v>
      </c>
      <c r="B297">
        <v>48</v>
      </c>
      <c r="C297" s="1" t="s">
        <v>10</v>
      </c>
      <c r="D297" s="1" t="s">
        <v>11</v>
      </c>
      <c r="E297" s="1" t="s">
        <v>12</v>
      </c>
      <c r="F297">
        <v>15000</v>
      </c>
      <c r="G297">
        <v>25</v>
      </c>
      <c r="H297" s="1" t="s">
        <v>18</v>
      </c>
      <c r="I297" s="1" t="s">
        <v>14</v>
      </c>
      <c r="J297">
        <v>4</v>
      </c>
      <c r="K297" t="s">
        <v>49</v>
      </c>
      <c r="L297" t="s">
        <v>58</v>
      </c>
      <c r="M297" t="s">
        <v>51</v>
      </c>
    </row>
    <row r="298" spans="1:13" x14ac:dyDescent="0.35">
      <c r="A298">
        <v>302</v>
      </c>
      <c r="B298">
        <v>65</v>
      </c>
      <c r="C298" s="1" t="s">
        <v>15</v>
      </c>
      <c r="D298" s="1" t="s">
        <v>16</v>
      </c>
      <c r="E298" s="1" t="s">
        <v>17</v>
      </c>
      <c r="F298">
        <v>2000</v>
      </c>
      <c r="G298">
        <v>23</v>
      </c>
      <c r="H298" s="1" t="s">
        <v>13</v>
      </c>
      <c r="I298" s="1" t="s">
        <v>19</v>
      </c>
      <c r="J298">
        <v>3</v>
      </c>
      <c r="K298" t="s">
        <v>55</v>
      </c>
      <c r="L298" t="s">
        <v>58</v>
      </c>
      <c r="M298" t="s">
        <v>52</v>
      </c>
    </row>
    <row r="299" spans="1:13" x14ac:dyDescent="0.35">
      <c r="A299">
        <v>303</v>
      </c>
      <c r="B299">
        <v>30</v>
      </c>
      <c r="C299" s="1" t="s">
        <v>10</v>
      </c>
      <c r="D299" s="1" t="s">
        <v>20</v>
      </c>
      <c r="E299" s="1" t="s">
        <v>21</v>
      </c>
      <c r="F299">
        <v>500</v>
      </c>
      <c r="G299">
        <v>21</v>
      </c>
      <c r="H299" s="1" t="s">
        <v>13</v>
      </c>
      <c r="I299" s="1" t="s">
        <v>14</v>
      </c>
      <c r="J299">
        <v>5</v>
      </c>
      <c r="K299" t="s">
        <v>53</v>
      </c>
      <c r="L299" t="s">
        <v>58</v>
      </c>
      <c r="M299" t="s">
        <v>51</v>
      </c>
    </row>
    <row r="300" spans="1:13" x14ac:dyDescent="0.35">
      <c r="A300">
        <v>304</v>
      </c>
      <c r="B300">
        <v>70</v>
      </c>
      <c r="C300" s="1" t="s">
        <v>15</v>
      </c>
      <c r="D300" s="1" t="s">
        <v>22</v>
      </c>
      <c r="E300" s="1" t="s">
        <v>23</v>
      </c>
      <c r="F300">
        <v>10000</v>
      </c>
      <c r="G300">
        <v>27</v>
      </c>
      <c r="H300" s="1" t="s">
        <v>18</v>
      </c>
      <c r="I300" s="1" t="s">
        <v>19</v>
      </c>
      <c r="J300">
        <v>2</v>
      </c>
      <c r="K300" t="s">
        <v>55</v>
      </c>
      <c r="L300" t="s">
        <v>58</v>
      </c>
      <c r="M300" t="s">
        <v>57</v>
      </c>
    </row>
    <row r="301" spans="1:13" x14ac:dyDescent="0.35">
      <c r="A301">
        <v>305</v>
      </c>
      <c r="B301">
        <v>55</v>
      </c>
      <c r="C301" s="1" t="s">
        <v>10</v>
      </c>
      <c r="D301" s="1" t="s">
        <v>24</v>
      </c>
      <c r="E301" s="1" t="s">
        <v>25</v>
      </c>
      <c r="F301">
        <v>25000</v>
      </c>
      <c r="G301">
        <v>30</v>
      </c>
      <c r="H301" s="1" t="s">
        <v>13</v>
      </c>
      <c r="I301" s="1" t="s">
        <v>14</v>
      </c>
      <c r="J301">
        <v>4</v>
      </c>
      <c r="K301" t="s">
        <v>49</v>
      </c>
      <c r="L301" t="s">
        <v>58</v>
      </c>
      <c r="M301" t="s">
        <v>51</v>
      </c>
    </row>
    <row r="302" spans="1:13" x14ac:dyDescent="0.35">
      <c r="A302">
        <v>306</v>
      </c>
      <c r="B302">
        <v>68</v>
      </c>
      <c r="C302" s="1" t="s">
        <v>15</v>
      </c>
      <c r="D302" s="1" t="s">
        <v>26</v>
      </c>
      <c r="E302" s="1" t="s">
        <v>27</v>
      </c>
      <c r="F302">
        <v>1000</v>
      </c>
      <c r="G302">
        <v>22</v>
      </c>
      <c r="H302" s="1" t="s">
        <v>13</v>
      </c>
      <c r="I302" s="1" t="s">
        <v>19</v>
      </c>
      <c r="J302">
        <v>4</v>
      </c>
      <c r="K302" t="s">
        <v>55</v>
      </c>
      <c r="L302" t="s">
        <v>58</v>
      </c>
      <c r="M302" t="s">
        <v>51</v>
      </c>
    </row>
    <row r="303" spans="1:13" x14ac:dyDescent="0.35">
      <c r="A303">
        <v>307</v>
      </c>
      <c r="B303">
        <v>45</v>
      </c>
      <c r="C303" s="1" t="s">
        <v>10</v>
      </c>
      <c r="D303" s="1" t="s">
        <v>28</v>
      </c>
      <c r="E303" s="1" t="s">
        <v>29</v>
      </c>
      <c r="F303">
        <v>8000</v>
      </c>
      <c r="G303">
        <v>24</v>
      </c>
      <c r="H303" s="1" t="s">
        <v>13</v>
      </c>
      <c r="I303" s="1" t="s">
        <v>14</v>
      </c>
      <c r="J303">
        <v>3</v>
      </c>
      <c r="K303" t="s">
        <v>49</v>
      </c>
      <c r="L303" t="s">
        <v>58</v>
      </c>
      <c r="M303" t="s">
        <v>52</v>
      </c>
    </row>
    <row r="304" spans="1:13" x14ac:dyDescent="0.35">
      <c r="A304">
        <v>308</v>
      </c>
      <c r="B304">
        <v>40</v>
      </c>
      <c r="C304" s="1" t="s">
        <v>15</v>
      </c>
      <c r="D304" s="1" t="s">
        <v>30</v>
      </c>
      <c r="E304" s="1" t="s">
        <v>31</v>
      </c>
      <c r="F304">
        <v>3000</v>
      </c>
      <c r="G304">
        <v>26</v>
      </c>
      <c r="H304" s="1" t="s">
        <v>13</v>
      </c>
      <c r="I304" s="1" t="s">
        <v>14</v>
      </c>
      <c r="J304">
        <v>4</v>
      </c>
      <c r="K304" t="s">
        <v>49</v>
      </c>
      <c r="L304" t="s">
        <v>58</v>
      </c>
      <c r="M304" t="s">
        <v>51</v>
      </c>
    </row>
    <row r="305" spans="1:13" x14ac:dyDescent="0.35">
      <c r="A305">
        <v>309</v>
      </c>
      <c r="B305">
        <v>78</v>
      </c>
      <c r="C305" s="1" t="s">
        <v>10</v>
      </c>
      <c r="D305" s="1" t="s">
        <v>32</v>
      </c>
      <c r="E305" s="1" t="s">
        <v>33</v>
      </c>
      <c r="F305">
        <v>18000</v>
      </c>
      <c r="G305">
        <v>28</v>
      </c>
      <c r="H305" s="1" t="s">
        <v>18</v>
      </c>
      <c r="I305" s="1" t="s">
        <v>19</v>
      </c>
      <c r="J305">
        <v>2</v>
      </c>
      <c r="K305" t="s">
        <v>55</v>
      </c>
      <c r="L305" t="s">
        <v>58</v>
      </c>
      <c r="M305" t="s">
        <v>57</v>
      </c>
    </row>
    <row r="306" spans="1:13" x14ac:dyDescent="0.35">
      <c r="A306">
        <v>310</v>
      </c>
      <c r="B306">
        <v>25</v>
      </c>
      <c r="C306" s="1" t="s">
        <v>15</v>
      </c>
      <c r="D306" s="1" t="s">
        <v>34</v>
      </c>
      <c r="E306" s="1" t="s">
        <v>35</v>
      </c>
      <c r="F306">
        <v>100</v>
      </c>
      <c r="G306">
        <v>21</v>
      </c>
      <c r="H306" s="1" t="s">
        <v>13</v>
      </c>
      <c r="I306" s="1" t="s">
        <v>14</v>
      </c>
      <c r="J306">
        <v>5</v>
      </c>
      <c r="K306" t="s">
        <v>53</v>
      </c>
      <c r="L306" t="s">
        <v>58</v>
      </c>
      <c r="M306" t="s">
        <v>51</v>
      </c>
    </row>
    <row r="307" spans="1:13" x14ac:dyDescent="0.35">
      <c r="A307">
        <v>311</v>
      </c>
      <c r="B307">
        <v>52</v>
      </c>
      <c r="C307" s="1" t="s">
        <v>10</v>
      </c>
      <c r="D307" s="1" t="s">
        <v>36</v>
      </c>
      <c r="E307" s="1" t="s">
        <v>37</v>
      </c>
      <c r="F307">
        <v>800</v>
      </c>
      <c r="G307">
        <v>22</v>
      </c>
      <c r="H307" s="1" t="s">
        <v>13</v>
      </c>
      <c r="I307" s="1" t="s">
        <v>19</v>
      </c>
      <c r="J307">
        <v>4</v>
      </c>
      <c r="K307" t="s">
        <v>49</v>
      </c>
      <c r="L307" t="s">
        <v>58</v>
      </c>
      <c r="M307" t="s">
        <v>51</v>
      </c>
    </row>
    <row r="308" spans="1:13" x14ac:dyDescent="0.35">
      <c r="A308">
        <v>312</v>
      </c>
      <c r="B308">
        <v>58</v>
      </c>
      <c r="C308" s="1" t="s">
        <v>15</v>
      </c>
      <c r="D308" s="1" t="s">
        <v>38</v>
      </c>
      <c r="E308" s="1" t="s">
        <v>39</v>
      </c>
      <c r="F308">
        <v>20000</v>
      </c>
      <c r="G308">
        <v>29</v>
      </c>
      <c r="H308" s="1" t="s">
        <v>13</v>
      </c>
      <c r="I308" s="1" t="s">
        <v>14</v>
      </c>
      <c r="J308">
        <v>3</v>
      </c>
      <c r="K308" t="s">
        <v>49</v>
      </c>
      <c r="L308" t="s">
        <v>58</v>
      </c>
      <c r="M308" t="s">
        <v>52</v>
      </c>
    </row>
    <row r="309" spans="1:13" x14ac:dyDescent="0.35">
      <c r="A309">
        <v>313</v>
      </c>
      <c r="B309">
        <v>32</v>
      </c>
      <c r="C309" s="1" t="s">
        <v>10</v>
      </c>
      <c r="D309" s="1" t="s">
        <v>40</v>
      </c>
      <c r="E309" s="1" t="s">
        <v>41</v>
      </c>
      <c r="F309">
        <v>12000</v>
      </c>
      <c r="G309">
        <v>23</v>
      </c>
      <c r="H309" s="1" t="s">
        <v>13</v>
      </c>
      <c r="I309" s="1" t="s">
        <v>14</v>
      </c>
      <c r="J309">
        <v>4</v>
      </c>
      <c r="K309" t="s">
        <v>53</v>
      </c>
      <c r="L309" t="s">
        <v>58</v>
      </c>
      <c r="M309" t="s">
        <v>51</v>
      </c>
    </row>
    <row r="310" spans="1:13" x14ac:dyDescent="0.35">
      <c r="A310">
        <v>314</v>
      </c>
      <c r="B310">
        <v>55</v>
      </c>
      <c r="C310" s="1" t="s">
        <v>15</v>
      </c>
      <c r="D310" s="1" t="s">
        <v>42</v>
      </c>
      <c r="E310" s="1" t="s">
        <v>43</v>
      </c>
      <c r="F310">
        <v>6000</v>
      </c>
      <c r="G310">
        <v>24</v>
      </c>
      <c r="H310" s="1" t="s">
        <v>13</v>
      </c>
      <c r="I310" s="1" t="s">
        <v>14</v>
      </c>
      <c r="J310">
        <v>3</v>
      </c>
      <c r="K310" t="s">
        <v>49</v>
      </c>
      <c r="L310" t="s">
        <v>58</v>
      </c>
      <c r="M310" t="s">
        <v>52</v>
      </c>
    </row>
    <row r="311" spans="1:13" x14ac:dyDescent="0.35">
      <c r="A311">
        <v>315</v>
      </c>
      <c r="B311">
        <v>65</v>
      </c>
      <c r="C311" s="1" t="s">
        <v>10</v>
      </c>
      <c r="D311" s="1" t="s">
        <v>44</v>
      </c>
      <c r="E311" s="1" t="s">
        <v>45</v>
      </c>
      <c r="F311">
        <v>4000</v>
      </c>
      <c r="G311">
        <v>25</v>
      </c>
      <c r="H311" s="1" t="s">
        <v>13</v>
      </c>
      <c r="I311" s="1" t="s">
        <v>19</v>
      </c>
      <c r="J311">
        <v>4</v>
      </c>
      <c r="K311" t="s">
        <v>55</v>
      </c>
      <c r="L311" t="s">
        <v>58</v>
      </c>
      <c r="M311" t="s">
        <v>51</v>
      </c>
    </row>
    <row r="312" spans="1:13" x14ac:dyDescent="0.35">
      <c r="A312">
        <v>316</v>
      </c>
      <c r="B312">
        <v>55</v>
      </c>
      <c r="C312" s="1" t="s">
        <v>10</v>
      </c>
      <c r="D312" s="1" t="s">
        <v>11</v>
      </c>
      <c r="E312" s="1" t="s">
        <v>12</v>
      </c>
      <c r="F312">
        <v>15000</v>
      </c>
      <c r="G312">
        <v>26</v>
      </c>
      <c r="H312" s="1" t="s">
        <v>18</v>
      </c>
      <c r="I312" s="1" t="s">
        <v>14</v>
      </c>
      <c r="J312">
        <v>3</v>
      </c>
      <c r="K312" t="s">
        <v>49</v>
      </c>
      <c r="L312" t="s">
        <v>58</v>
      </c>
      <c r="M312" t="s">
        <v>52</v>
      </c>
    </row>
    <row r="313" spans="1:13" x14ac:dyDescent="0.35">
      <c r="A313">
        <v>317</v>
      </c>
      <c r="B313">
        <v>62</v>
      </c>
      <c r="C313" s="1" t="s">
        <v>15</v>
      </c>
      <c r="D313" s="1" t="s">
        <v>16</v>
      </c>
      <c r="E313" s="1" t="s">
        <v>17</v>
      </c>
      <c r="F313">
        <v>2000</v>
      </c>
      <c r="G313">
        <v>24</v>
      </c>
      <c r="H313" s="1" t="s">
        <v>13</v>
      </c>
      <c r="I313" s="1" t="s">
        <v>19</v>
      </c>
      <c r="J313">
        <v>4</v>
      </c>
      <c r="K313" t="s">
        <v>55</v>
      </c>
      <c r="L313" t="s">
        <v>58</v>
      </c>
      <c r="M313" t="s">
        <v>51</v>
      </c>
    </row>
    <row r="314" spans="1:13" x14ac:dyDescent="0.35">
      <c r="A314">
        <v>318</v>
      </c>
      <c r="B314">
        <v>35</v>
      </c>
      <c r="C314" s="1" t="s">
        <v>10</v>
      </c>
      <c r="D314" s="1" t="s">
        <v>20</v>
      </c>
      <c r="E314" s="1" t="s">
        <v>21</v>
      </c>
      <c r="F314">
        <v>500</v>
      </c>
      <c r="G314">
        <v>22</v>
      </c>
      <c r="H314" s="1" t="s">
        <v>18</v>
      </c>
      <c r="I314" s="1" t="s">
        <v>14</v>
      </c>
      <c r="J314">
        <v>5</v>
      </c>
      <c r="K314" t="s">
        <v>53</v>
      </c>
      <c r="L314" t="s">
        <v>58</v>
      </c>
      <c r="M314" t="s">
        <v>51</v>
      </c>
    </row>
    <row r="315" spans="1:13" x14ac:dyDescent="0.35">
      <c r="A315">
        <v>319</v>
      </c>
      <c r="B315">
        <v>78</v>
      </c>
      <c r="C315" s="1" t="s">
        <v>15</v>
      </c>
      <c r="D315" s="1" t="s">
        <v>22</v>
      </c>
      <c r="E315" s="1" t="s">
        <v>23</v>
      </c>
      <c r="F315">
        <v>10000</v>
      </c>
      <c r="G315">
        <v>28</v>
      </c>
      <c r="H315" s="1" t="s">
        <v>13</v>
      </c>
      <c r="I315" s="1" t="s">
        <v>19</v>
      </c>
      <c r="J315">
        <v>2</v>
      </c>
      <c r="K315" t="s">
        <v>55</v>
      </c>
      <c r="L315" t="s">
        <v>58</v>
      </c>
      <c r="M315" t="s">
        <v>57</v>
      </c>
    </row>
    <row r="316" spans="1:13" x14ac:dyDescent="0.35">
      <c r="A316">
        <v>320</v>
      </c>
      <c r="B316">
        <v>53</v>
      </c>
      <c r="C316" s="1" t="s">
        <v>10</v>
      </c>
      <c r="D316" s="1" t="s">
        <v>24</v>
      </c>
      <c r="E316" s="1" t="s">
        <v>25</v>
      </c>
      <c r="F316">
        <v>25000</v>
      </c>
      <c r="G316">
        <v>31</v>
      </c>
      <c r="H316" s="1" t="s">
        <v>18</v>
      </c>
      <c r="I316" s="1" t="s">
        <v>14</v>
      </c>
      <c r="J316">
        <v>4</v>
      </c>
      <c r="K316" t="s">
        <v>49</v>
      </c>
      <c r="L316" t="s">
        <v>59</v>
      </c>
      <c r="M316" t="s">
        <v>51</v>
      </c>
    </row>
    <row r="317" spans="1:13" x14ac:dyDescent="0.35">
      <c r="A317">
        <v>321</v>
      </c>
      <c r="B317">
        <v>72</v>
      </c>
      <c r="C317" s="1" t="s">
        <v>15</v>
      </c>
      <c r="D317" s="1" t="s">
        <v>26</v>
      </c>
      <c r="E317" s="1" t="s">
        <v>27</v>
      </c>
      <c r="F317">
        <v>1000</v>
      </c>
      <c r="G317">
        <v>23</v>
      </c>
      <c r="H317" s="1" t="s">
        <v>13</v>
      </c>
      <c r="I317" s="1" t="s">
        <v>19</v>
      </c>
      <c r="J317">
        <v>4</v>
      </c>
      <c r="K317" t="s">
        <v>55</v>
      </c>
      <c r="L317" t="s">
        <v>58</v>
      </c>
      <c r="M317" t="s">
        <v>51</v>
      </c>
    </row>
    <row r="318" spans="1:13" x14ac:dyDescent="0.35">
      <c r="A318">
        <v>322</v>
      </c>
      <c r="B318">
        <v>60</v>
      </c>
      <c r="C318" s="1" t="s">
        <v>10</v>
      </c>
      <c r="D318" s="1" t="s">
        <v>28</v>
      </c>
      <c r="E318" s="1" t="s">
        <v>29</v>
      </c>
      <c r="F318">
        <v>8000</v>
      </c>
      <c r="G318">
        <v>25</v>
      </c>
      <c r="H318" s="1" t="s">
        <v>18</v>
      </c>
      <c r="I318" s="1" t="s">
        <v>14</v>
      </c>
      <c r="J318">
        <v>3</v>
      </c>
      <c r="K318" t="s">
        <v>49</v>
      </c>
      <c r="L318" t="s">
        <v>58</v>
      </c>
      <c r="M318" t="s">
        <v>52</v>
      </c>
    </row>
    <row r="319" spans="1:13" x14ac:dyDescent="0.35">
      <c r="A319">
        <v>323</v>
      </c>
      <c r="B319">
        <v>45</v>
      </c>
      <c r="C319" s="1" t="s">
        <v>15</v>
      </c>
      <c r="D319" s="1" t="s">
        <v>30</v>
      </c>
      <c r="E319" s="1" t="s">
        <v>31</v>
      </c>
      <c r="F319">
        <v>3000</v>
      </c>
      <c r="G319">
        <v>27</v>
      </c>
      <c r="H319" s="1" t="s">
        <v>13</v>
      </c>
      <c r="I319" s="1" t="s">
        <v>14</v>
      </c>
      <c r="J319">
        <v>4</v>
      </c>
      <c r="K319" t="s">
        <v>49</v>
      </c>
      <c r="L319" t="s">
        <v>58</v>
      </c>
      <c r="M319" t="s">
        <v>51</v>
      </c>
    </row>
    <row r="320" spans="1:13" x14ac:dyDescent="0.35">
      <c r="A320">
        <v>324</v>
      </c>
      <c r="B320">
        <v>75</v>
      </c>
      <c r="C320" s="1" t="s">
        <v>10</v>
      </c>
      <c r="D320" s="1" t="s">
        <v>32</v>
      </c>
      <c r="E320" s="1" t="s">
        <v>33</v>
      </c>
      <c r="F320">
        <v>18000</v>
      </c>
      <c r="G320">
        <v>29</v>
      </c>
      <c r="H320" s="1" t="s">
        <v>18</v>
      </c>
      <c r="I320" s="1" t="s">
        <v>19</v>
      </c>
      <c r="J320">
        <v>2</v>
      </c>
      <c r="K320" t="s">
        <v>55</v>
      </c>
      <c r="L320" t="s">
        <v>58</v>
      </c>
      <c r="M320" t="s">
        <v>57</v>
      </c>
    </row>
    <row r="321" spans="1:13" x14ac:dyDescent="0.35">
      <c r="A321">
        <v>325</v>
      </c>
      <c r="B321">
        <v>28</v>
      </c>
      <c r="C321" s="1" t="s">
        <v>15</v>
      </c>
      <c r="D321" s="1" t="s">
        <v>34</v>
      </c>
      <c r="E321" s="1" t="s">
        <v>35</v>
      </c>
      <c r="F321">
        <v>100</v>
      </c>
      <c r="G321">
        <v>22</v>
      </c>
      <c r="H321" s="1" t="s">
        <v>13</v>
      </c>
      <c r="I321" s="1" t="s">
        <v>14</v>
      </c>
      <c r="J321">
        <v>5</v>
      </c>
      <c r="K321" t="s">
        <v>53</v>
      </c>
      <c r="L321" t="s">
        <v>58</v>
      </c>
      <c r="M321" t="s">
        <v>51</v>
      </c>
    </row>
    <row r="322" spans="1:13" x14ac:dyDescent="0.35">
      <c r="A322">
        <v>326</v>
      </c>
      <c r="B322">
        <v>52</v>
      </c>
      <c r="C322" s="1" t="s">
        <v>10</v>
      </c>
      <c r="D322" s="1" t="s">
        <v>36</v>
      </c>
      <c r="E322" s="1" t="s">
        <v>37</v>
      </c>
      <c r="F322">
        <v>800</v>
      </c>
      <c r="G322">
        <v>23</v>
      </c>
      <c r="H322" s="1" t="s">
        <v>13</v>
      </c>
      <c r="I322" s="1" t="s">
        <v>19</v>
      </c>
      <c r="J322">
        <v>4</v>
      </c>
      <c r="K322" t="s">
        <v>49</v>
      </c>
      <c r="L322" t="s">
        <v>58</v>
      </c>
      <c r="M322" t="s">
        <v>51</v>
      </c>
    </row>
    <row r="323" spans="1:13" x14ac:dyDescent="0.35">
      <c r="A323">
        <v>327</v>
      </c>
      <c r="B323">
        <v>67</v>
      </c>
      <c r="C323" s="1" t="s">
        <v>15</v>
      </c>
      <c r="D323" s="1" t="s">
        <v>38</v>
      </c>
      <c r="E323" s="1" t="s">
        <v>39</v>
      </c>
      <c r="F323">
        <v>20000</v>
      </c>
      <c r="G323">
        <v>30</v>
      </c>
      <c r="H323" s="1" t="s">
        <v>13</v>
      </c>
      <c r="I323" s="1" t="s">
        <v>14</v>
      </c>
      <c r="J323">
        <v>3</v>
      </c>
      <c r="K323" t="s">
        <v>55</v>
      </c>
      <c r="L323" t="s">
        <v>58</v>
      </c>
      <c r="M323" t="s">
        <v>52</v>
      </c>
    </row>
    <row r="324" spans="1:13" x14ac:dyDescent="0.35">
      <c r="A324">
        <v>328</v>
      </c>
      <c r="B324">
        <v>35</v>
      </c>
      <c r="C324" s="1" t="s">
        <v>10</v>
      </c>
      <c r="D324" s="1" t="s">
        <v>40</v>
      </c>
      <c r="E324" s="1" t="s">
        <v>41</v>
      </c>
      <c r="F324">
        <v>12000</v>
      </c>
      <c r="G324">
        <v>24</v>
      </c>
      <c r="H324" s="1" t="s">
        <v>13</v>
      </c>
      <c r="I324" s="1" t="s">
        <v>14</v>
      </c>
      <c r="J324">
        <v>4</v>
      </c>
      <c r="K324" t="s">
        <v>53</v>
      </c>
      <c r="L324" t="s">
        <v>58</v>
      </c>
      <c r="M324" t="s">
        <v>51</v>
      </c>
    </row>
    <row r="325" spans="1:13" x14ac:dyDescent="0.35">
      <c r="A325">
        <v>329</v>
      </c>
      <c r="B325">
        <v>50</v>
      </c>
      <c r="C325" s="1" t="s">
        <v>15</v>
      </c>
      <c r="D325" s="1" t="s">
        <v>42</v>
      </c>
      <c r="E325" s="1" t="s">
        <v>43</v>
      </c>
      <c r="F325">
        <v>6000</v>
      </c>
      <c r="G325">
        <v>25</v>
      </c>
      <c r="H325" s="1" t="s">
        <v>13</v>
      </c>
      <c r="I325" s="1" t="s">
        <v>14</v>
      </c>
      <c r="J325">
        <v>3</v>
      </c>
      <c r="K325" t="s">
        <v>49</v>
      </c>
      <c r="L325" t="s">
        <v>58</v>
      </c>
      <c r="M325" t="s">
        <v>52</v>
      </c>
    </row>
    <row r="326" spans="1:13" x14ac:dyDescent="0.35">
      <c r="A326">
        <v>330</v>
      </c>
      <c r="B326">
        <v>60</v>
      </c>
      <c r="C326" s="1" t="s">
        <v>10</v>
      </c>
      <c r="D326" s="1" t="s">
        <v>44</v>
      </c>
      <c r="E326" s="1" t="s">
        <v>45</v>
      </c>
      <c r="F326">
        <v>4000</v>
      </c>
      <c r="G326">
        <v>26</v>
      </c>
      <c r="H326" s="1" t="s">
        <v>13</v>
      </c>
      <c r="I326" s="1" t="s">
        <v>19</v>
      </c>
      <c r="J326">
        <v>4</v>
      </c>
      <c r="K326" t="s">
        <v>49</v>
      </c>
      <c r="L326" t="s">
        <v>58</v>
      </c>
      <c r="M326" t="s">
        <v>51</v>
      </c>
    </row>
    <row r="327" spans="1:13" x14ac:dyDescent="0.35">
      <c r="A327">
        <v>331</v>
      </c>
      <c r="B327">
        <v>48</v>
      </c>
      <c r="C327" s="1" t="s">
        <v>10</v>
      </c>
      <c r="D327" s="1" t="s">
        <v>11</v>
      </c>
      <c r="E327" s="1" t="s">
        <v>12</v>
      </c>
      <c r="F327">
        <v>15000</v>
      </c>
      <c r="G327">
        <v>27</v>
      </c>
      <c r="H327" s="1" t="s">
        <v>18</v>
      </c>
      <c r="I327" s="1" t="s">
        <v>14</v>
      </c>
      <c r="J327">
        <v>4</v>
      </c>
      <c r="K327" t="s">
        <v>49</v>
      </c>
      <c r="L327" t="s">
        <v>58</v>
      </c>
      <c r="M327" t="s">
        <v>51</v>
      </c>
    </row>
    <row r="328" spans="1:13" x14ac:dyDescent="0.35">
      <c r="A328">
        <v>332</v>
      </c>
      <c r="B328">
        <v>65</v>
      </c>
      <c r="C328" s="1" t="s">
        <v>15</v>
      </c>
      <c r="D328" s="1" t="s">
        <v>16</v>
      </c>
      <c r="E328" s="1" t="s">
        <v>17</v>
      </c>
      <c r="F328">
        <v>2000</v>
      </c>
      <c r="G328">
        <v>25</v>
      </c>
      <c r="H328" s="1" t="s">
        <v>13</v>
      </c>
      <c r="I328" s="1" t="s">
        <v>19</v>
      </c>
      <c r="J328">
        <v>3</v>
      </c>
      <c r="K328" t="s">
        <v>55</v>
      </c>
      <c r="L328" t="s">
        <v>58</v>
      </c>
      <c r="M328" t="s">
        <v>52</v>
      </c>
    </row>
    <row r="329" spans="1:13" x14ac:dyDescent="0.35">
      <c r="A329">
        <v>333</v>
      </c>
      <c r="B329">
        <v>30</v>
      </c>
      <c r="C329" s="1" t="s">
        <v>10</v>
      </c>
      <c r="D329" s="1" t="s">
        <v>20</v>
      </c>
      <c r="E329" s="1" t="s">
        <v>21</v>
      </c>
      <c r="F329">
        <v>500</v>
      </c>
      <c r="G329">
        <v>23</v>
      </c>
      <c r="H329" s="1" t="s">
        <v>13</v>
      </c>
      <c r="I329" s="1" t="s">
        <v>14</v>
      </c>
      <c r="J329">
        <v>5</v>
      </c>
      <c r="K329" t="s">
        <v>53</v>
      </c>
      <c r="L329" t="s">
        <v>58</v>
      </c>
      <c r="M329" t="s">
        <v>51</v>
      </c>
    </row>
    <row r="330" spans="1:13" x14ac:dyDescent="0.35">
      <c r="A330">
        <v>334</v>
      </c>
      <c r="B330">
        <v>70</v>
      </c>
      <c r="C330" s="1" t="s">
        <v>15</v>
      </c>
      <c r="D330" s="1" t="s">
        <v>22</v>
      </c>
      <c r="E330" s="1" t="s">
        <v>23</v>
      </c>
      <c r="F330">
        <v>10000</v>
      </c>
      <c r="G330">
        <v>29</v>
      </c>
      <c r="H330" s="1" t="s">
        <v>18</v>
      </c>
      <c r="I330" s="1" t="s">
        <v>19</v>
      </c>
      <c r="J330">
        <v>2</v>
      </c>
      <c r="K330" t="s">
        <v>55</v>
      </c>
      <c r="L330" t="s">
        <v>58</v>
      </c>
      <c r="M330" t="s">
        <v>57</v>
      </c>
    </row>
    <row r="331" spans="1:13" x14ac:dyDescent="0.35">
      <c r="A331">
        <v>335</v>
      </c>
      <c r="B331">
        <v>55</v>
      </c>
      <c r="C331" s="1" t="s">
        <v>10</v>
      </c>
      <c r="D331" s="1" t="s">
        <v>24</v>
      </c>
      <c r="E331" s="1" t="s">
        <v>25</v>
      </c>
      <c r="F331">
        <v>25000</v>
      </c>
      <c r="G331">
        <v>32</v>
      </c>
      <c r="H331" s="1" t="s">
        <v>13</v>
      </c>
      <c r="I331" s="1" t="s">
        <v>14</v>
      </c>
      <c r="J331">
        <v>4</v>
      </c>
      <c r="K331" t="s">
        <v>49</v>
      </c>
      <c r="L331" t="s">
        <v>59</v>
      </c>
      <c r="M331" t="s">
        <v>51</v>
      </c>
    </row>
    <row r="332" spans="1:13" x14ac:dyDescent="0.35">
      <c r="A332">
        <v>336</v>
      </c>
      <c r="B332">
        <v>68</v>
      </c>
      <c r="C332" s="1" t="s">
        <v>15</v>
      </c>
      <c r="D332" s="1" t="s">
        <v>26</v>
      </c>
      <c r="E332" s="1" t="s">
        <v>27</v>
      </c>
      <c r="F332">
        <v>1000</v>
      </c>
      <c r="G332">
        <v>24</v>
      </c>
      <c r="H332" s="1" t="s">
        <v>13</v>
      </c>
      <c r="I332" s="1" t="s">
        <v>19</v>
      </c>
      <c r="J332">
        <v>4</v>
      </c>
      <c r="K332" t="s">
        <v>55</v>
      </c>
      <c r="L332" t="s">
        <v>58</v>
      </c>
      <c r="M332" t="s">
        <v>51</v>
      </c>
    </row>
    <row r="333" spans="1:13" x14ac:dyDescent="0.35">
      <c r="A333">
        <v>337</v>
      </c>
      <c r="B333">
        <v>45</v>
      </c>
      <c r="C333" s="1" t="s">
        <v>10</v>
      </c>
      <c r="D333" s="1" t="s">
        <v>28</v>
      </c>
      <c r="E333" s="1" t="s">
        <v>29</v>
      </c>
      <c r="F333">
        <v>8000</v>
      </c>
      <c r="G333">
        <v>26</v>
      </c>
      <c r="H333" s="1" t="s">
        <v>13</v>
      </c>
      <c r="I333" s="1" t="s">
        <v>14</v>
      </c>
      <c r="J333">
        <v>3</v>
      </c>
      <c r="K333" t="s">
        <v>49</v>
      </c>
      <c r="L333" t="s">
        <v>58</v>
      </c>
      <c r="M333" t="s">
        <v>52</v>
      </c>
    </row>
    <row r="334" spans="1:13" x14ac:dyDescent="0.35">
      <c r="A334">
        <v>338</v>
      </c>
      <c r="B334">
        <v>40</v>
      </c>
      <c r="C334" s="1" t="s">
        <v>15</v>
      </c>
      <c r="D334" s="1" t="s">
        <v>30</v>
      </c>
      <c r="E334" s="1" t="s">
        <v>31</v>
      </c>
      <c r="F334">
        <v>3000</v>
      </c>
      <c r="G334">
        <v>28</v>
      </c>
      <c r="H334" s="1" t="s">
        <v>13</v>
      </c>
      <c r="I334" s="1" t="s">
        <v>14</v>
      </c>
      <c r="J334">
        <v>4</v>
      </c>
      <c r="K334" t="s">
        <v>49</v>
      </c>
      <c r="L334" t="s">
        <v>58</v>
      </c>
      <c r="M334" t="s">
        <v>51</v>
      </c>
    </row>
    <row r="335" spans="1:13" x14ac:dyDescent="0.35">
      <c r="A335">
        <v>339</v>
      </c>
      <c r="B335">
        <v>78</v>
      </c>
      <c r="C335" s="1" t="s">
        <v>10</v>
      </c>
      <c r="D335" s="1" t="s">
        <v>32</v>
      </c>
      <c r="E335" s="1" t="s">
        <v>33</v>
      </c>
      <c r="F335">
        <v>18000</v>
      </c>
      <c r="G335">
        <v>30</v>
      </c>
      <c r="H335" s="1" t="s">
        <v>18</v>
      </c>
      <c r="I335" s="1" t="s">
        <v>19</v>
      </c>
      <c r="J335">
        <v>2</v>
      </c>
      <c r="K335" t="s">
        <v>55</v>
      </c>
      <c r="L335" t="s">
        <v>58</v>
      </c>
      <c r="M335" t="s">
        <v>57</v>
      </c>
    </row>
    <row r="336" spans="1:13" x14ac:dyDescent="0.35">
      <c r="A336">
        <v>340</v>
      </c>
      <c r="B336">
        <v>25</v>
      </c>
      <c r="C336" s="1" t="s">
        <v>15</v>
      </c>
      <c r="D336" s="1" t="s">
        <v>34</v>
      </c>
      <c r="E336" s="1" t="s">
        <v>35</v>
      </c>
      <c r="F336">
        <v>100</v>
      </c>
      <c r="G336">
        <v>23</v>
      </c>
      <c r="H336" s="1" t="s">
        <v>13</v>
      </c>
      <c r="I336" s="1" t="s">
        <v>14</v>
      </c>
      <c r="J336">
        <v>5</v>
      </c>
      <c r="K336" t="s">
        <v>53</v>
      </c>
      <c r="L336" t="s">
        <v>58</v>
      </c>
      <c r="M336" t="s">
        <v>51</v>
      </c>
    </row>
    <row r="337" spans="1:13" x14ac:dyDescent="0.35">
      <c r="A337">
        <v>341</v>
      </c>
      <c r="B337">
        <v>52</v>
      </c>
      <c r="C337" s="1" t="s">
        <v>10</v>
      </c>
      <c r="D337" s="1" t="s">
        <v>36</v>
      </c>
      <c r="E337" s="1" t="s">
        <v>37</v>
      </c>
      <c r="F337">
        <v>800</v>
      </c>
      <c r="G337">
        <v>24</v>
      </c>
      <c r="H337" s="1" t="s">
        <v>13</v>
      </c>
      <c r="I337" s="1" t="s">
        <v>19</v>
      </c>
      <c r="J337">
        <v>4</v>
      </c>
      <c r="K337" t="s">
        <v>49</v>
      </c>
      <c r="L337" t="s">
        <v>58</v>
      </c>
      <c r="M337" t="s">
        <v>51</v>
      </c>
    </row>
    <row r="338" spans="1:13" x14ac:dyDescent="0.35">
      <c r="A338">
        <v>342</v>
      </c>
      <c r="B338">
        <v>58</v>
      </c>
      <c r="C338" s="1" t="s">
        <v>15</v>
      </c>
      <c r="D338" s="1" t="s">
        <v>38</v>
      </c>
      <c r="E338" s="1" t="s">
        <v>39</v>
      </c>
      <c r="F338">
        <v>20000</v>
      </c>
      <c r="G338">
        <v>31</v>
      </c>
      <c r="H338" s="1" t="s">
        <v>13</v>
      </c>
      <c r="I338" s="1" t="s">
        <v>14</v>
      </c>
      <c r="J338">
        <v>3</v>
      </c>
      <c r="K338" t="s">
        <v>49</v>
      </c>
      <c r="L338" t="s">
        <v>59</v>
      </c>
      <c r="M338" t="s">
        <v>52</v>
      </c>
    </row>
    <row r="339" spans="1:13" x14ac:dyDescent="0.35">
      <c r="A339">
        <v>343</v>
      </c>
      <c r="B339">
        <v>32</v>
      </c>
      <c r="C339" s="1" t="s">
        <v>10</v>
      </c>
      <c r="D339" s="1" t="s">
        <v>40</v>
      </c>
      <c r="E339" s="1" t="s">
        <v>41</v>
      </c>
      <c r="F339">
        <v>12000</v>
      </c>
      <c r="G339">
        <v>25</v>
      </c>
      <c r="H339" s="1" t="s">
        <v>13</v>
      </c>
      <c r="I339" s="1" t="s">
        <v>14</v>
      </c>
      <c r="J339">
        <v>4</v>
      </c>
      <c r="K339" t="s">
        <v>53</v>
      </c>
      <c r="L339" t="s">
        <v>58</v>
      </c>
      <c r="M339" t="s">
        <v>51</v>
      </c>
    </row>
    <row r="340" spans="1:13" x14ac:dyDescent="0.35">
      <c r="A340">
        <v>344</v>
      </c>
      <c r="B340">
        <v>55</v>
      </c>
      <c r="C340" s="1" t="s">
        <v>15</v>
      </c>
      <c r="D340" s="1" t="s">
        <v>42</v>
      </c>
      <c r="E340" s="1" t="s">
        <v>43</v>
      </c>
      <c r="F340">
        <v>6000</v>
      </c>
      <c r="G340">
        <v>26</v>
      </c>
      <c r="H340" s="1" t="s">
        <v>13</v>
      </c>
      <c r="I340" s="1" t="s">
        <v>14</v>
      </c>
      <c r="J340">
        <v>3</v>
      </c>
      <c r="K340" t="s">
        <v>49</v>
      </c>
      <c r="L340" t="s">
        <v>58</v>
      </c>
      <c r="M340" t="s">
        <v>52</v>
      </c>
    </row>
    <row r="341" spans="1:13" x14ac:dyDescent="0.35">
      <c r="A341">
        <v>345</v>
      </c>
      <c r="B341">
        <v>65</v>
      </c>
      <c r="C341" s="1" t="s">
        <v>10</v>
      </c>
      <c r="D341" s="1" t="s">
        <v>44</v>
      </c>
      <c r="E341" s="1" t="s">
        <v>45</v>
      </c>
      <c r="F341">
        <v>4000</v>
      </c>
      <c r="G341">
        <v>27</v>
      </c>
      <c r="H341" s="1" t="s">
        <v>13</v>
      </c>
      <c r="I341" s="1" t="s">
        <v>19</v>
      </c>
      <c r="J341">
        <v>4</v>
      </c>
      <c r="K341" t="s">
        <v>55</v>
      </c>
      <c r="L341" t="s">
        <v>58</v>
      </c>
      <c r="M341" t="s">
        <v>51</v>
      </c>
    </row>
    <row r="342" spans="1:13" x14ac:dyDescent="0.35">
      <c r="A342">
        <v>346</v>
      </c>
      <c r="B342">
        <v>55</v>
      </c>
      <c r="C342" s="1" t="s">
        <v>10</v>
      </c>
      <c r="D342" s="1" t="s">
        <v>11</v>
      </c>
      <c r="E342" s="1" t="s">
        <v>12</v>
      </c>
      <c r="F342">
        <v>15000</v>
      </c>
      <c r="G342">
        <v>28</v>
      </c>
      <c r="H342" s="1" t="s">
        <v>18</v>
      </c>
      <c r="I342" s="1" t="s">
        <v>14</v>
      </c>
      <c r="J342">
        <v>3</v>
      </c>
      <c r="K342" t="s">
        <v>49</v>
      </c>
      <c r="L342" t="s">
        <v>58</v>
      </c>
      <c r="M342" t="s">
        <v>52</v>
      </c>
    </row>
    <row r="343" spans="1:13" x14ac:dyDescent="0.35">
      <c r="A343">
        <v>347</v>
      </c>
      <c r="B343">
        <v>62</v>
      </c>
      <c r="C343" s="1" t="s">
        <v>15</v>
      </c>
      <c r="D343" s="1" t="s">
        <v>16</v>
      </c>
      <c r="E343" s="1" t="s">
        <v>17</v>
      </c>
      <c r="F343">
        <v>2000</v>
      </c>
      <c r="G343">
        <v>26</v>
      </c>
      <c r="H343" s="1" t="s">
        <v>13</v>
      </c>
      <c r="I343" s="1" t="s">
        <v>19</v>
      </c>
      <c r="J343">
        <v>4</v>
      </c>
      <c r="K343" t="s">
        <v>55</v>
      </c>
      <c r="L343" t="s">
        <v>58</v>
      </c>
      <c r="M343" t="s">
        <v>51</v>
      </c>
    </row>
    <row r="344" spans="1:13" x14ac:dyDescent="0.35">
      <c r="A344">
        <v>348</v>
      </c>
      <c r="B344">
        <v>35</v>
      </c>
      <c r="C344" s="1" t="s">
        <v>10</v>
      </c>
      <c r="D344" s="1" t="s">
        <v>20</v>
      </c>
      <c r="E344" s="1" t="s">
        <v>21</v>
      </c>
      <c r="F344">
        <v>500</v>
      </c>
      <c r="G344">
        <v>24</v>
      </c>
      <c r="H344" s="1" t="s">
        <v>18</v>
      </c>
      <c r="I344" s="1" t="s">
        <v>14</v>
      </c>
      <c r="J344">
        <v>5</v>
      </c>
      <c r="K344" t="s">
        <v>53</v>
      </c>
      <c r="L344" t="s">
        <v>58</v>
      </c>
      <c r="M344" t="s">
        <v>51</v>
      </c>
    </row>
    <row r="345" spans="1:13" x14ac:dyDescent="0.35">
      <c r="A345">
        <v>349</v>
      </c>
      <c r="B345">
        <v>78</v>
      </c>
      <c r="C345" s="1" t="s">
        <v>15</v>
      </c>
      <c r="D345" s="1" t="s">
        <v>22</v>
      </c>
      <c r="E345" s="1" t="s">
        <v>23</v>
      </c>
      <c r="F345">
        <v>10000</v>
      </c>
      <c r="G345">
        <v>30</v>
      </c>
      <c r="H345" s="1" t="s">
        <v>13</v>
      </c>
      <c r="I345" s="1" t="s">
        <v>19</v>
      </c>
      <c r="J345">
        <v>2</v>
      </c>
      <c r="K345" t="s">
        <v>55</v>
      </c>
      <c r="L345" t="s">
        <v>58</v>
      </c>
      <c r="M345" t="s">
        <v>57</v>
      </c>
    </row>
    <row r="346" spans="1:13" x14ac:dyDescent="0.35">
      <c r="A346">
        <v>350</v>
      </c>
      <c r="B346">
        <v>53</v>
      </c>
      <c r="C346" s="1" t="s">
        <v>10</v>
      </c>
      <c r="D346" s="1" t="s">
        <v>24</v>
      </c>
      <c r="E346" s="1" t="s">
        <v>25</v>
      </c>
      <c r="F346">
        <v>25000</v>
      </c>
      <c r="G346">
        <v>33</v>
      </c>
      <c r="H346" s="1" t="s">
        <v>18</v>
      </c>
      <c r="I346" s="1" t="s">
        <v>14</v>
      </c>
      <c r="J346">
        <v>4</v>
      </c>
      <c r="K346" t="s">
        <v>49</v>
      </c>
      <c r="L346" t="s">
        <v>59</v>
      </c>
      <c r="M346" t="s">
        <v>51</v>
      </c>
    </row>
    <row r="347" spans="1:13" x14ac:dyDescent="0.35">
      <c r="A347">
        <v>351</v>
      </c>
      <c r="B347">
        <v>72</v>
      </c>
      <c r="C347" s="1" t="s">
        <v>15</v>
      </c>
      <c r="D347" s="1" t="s">
        <v>26</v>
      </c>
      <c r="E347" s="1" t="s">
        <v>27</v>
      </c>
      <c r="F347">
        <v>1000</v>
      </c>
      <c r="G347">
        <v>25</v>
      </c>
      <c r="H347" s="1" t="s">
        <v>13</v>
      </c>
      <c r="I347" s="1" t="s">
        <v>19</v>
      </c>
      <c r="J347">
        <v>4</v>
      </c>
      <c r="K347" t="s">
        <v>55</v>
      </c>
      <c r="L347" t="s">
        <v>58</v>
      </c>
      <c r="M347" t="s">
        <v>51</v>
      </c>
    </row>
    <row r="348" spans="1:13" x14ac:dyDescent="0.35">
      <c r="A348">
        <v>352</v>
      </c>
      <c r="B348">
        <v>60</v>
      </c>
      <c r="C348" s="1" t="s">
        <v>10</v>
      </c>
      <c r="D348" s="1" t="s">
        <v>28</v>
      </c>
      <c r="E348" s="1" t="s">
        <v>29</v>
      </c>
      <c r="F348">
        <v>8000</v>
      </c>
      <c r="G348">
        <v>27</v>
      </c>
      <c r="H348" s="1" t="s">
        <v>18</v>
      </c>
      <c r="I348" s="1" t="s">
        <v>14</v>
      </c>
      <c r="J348">
        <v>3</v>
      </c>
      <c r="K348" t="s">
        <v>49</v>
      </c>
      <c r="L348" t="s">
        <v>58</v>
      </c>
      <c r="M348" t="s">
        <v>52</v>
      </c>
    </row>
    <row r="349" spans="1:13" x14ac:dyDescent="0.35">
      <c r="A349">
        <v>353</v>
      </c>
      <c r="B349">
        <v>45</v>
      </c>
      <c r="C349" s="1" t="s">
        <v>15</v>
      </c>
      <c r="D349" s="1" t="s">
        <v>30</v>
      </c>
      <c r="E349" s="1" t="s">
        <v>31</v>
      </c>
      <c r="F349">
        <v>3000</v>
      </c>
      <c r="G349">
        <v>29</v>
      </c>
      <c r="H349" s="1" t="s">
        <v>13</v>
      </c>
      <c r="I349" s="1" t="s">
        <v>14</v>
      </c>
      <c r="J349">
        <v>4</v>
      </c>
      <c r="K349" t="s">
        <v>49</v>
      </c>
      <c r="L349" t="s">
        <v>58</v>
      </c>
      <c r="M349" t="s">
        <v>51</v>
      </c>
    </row>
    <row r="350" spans="1:13" x14ac:dyDescent="0.35">
      <c r="A350">
        <v>354</v>
      </c>
      <c r="B350">
        <v>75</v>
      </c>
      <c r="C350" s="1" t="s">
        <v>10</v>
      </c>
      <c r="D350" s="1" t="s">
        <v>32</v>
      </c>
      <c r="E350" s="1" t="s">
        <v>33</v>
      </c>
      <c r="F350">
        <v>18000</v>
      </c>
      <c r="G350">
        <v>31</v>
      </c>
      <c r="H350" s="1" t="s">
        <v>18</v>
      </c>
      <c r="I350" s="1" t="s">
        <v>19</v>
      </c>
      <c r="J350">
        <v>2</v>
      </c>
      <c r="K350" t="s">
        <v>55</v>
      </c>
      <c r="L350" t="s">
        <v>59</v>
      </c>
      <c r="M350" t="s">
        <v>57</v>
      </c>
    </row>
    <row r="351" spans="1:13" x14ac:dyDescent="0.35">
      <c r="A351">
        <v>355</v>
      </c>
      <c r="B351">
        <v>28</v>
      </c>
      <c r="C351" s="1" t="s">
        <v>15</v>
      </c>
      <c r="D351" s="1" t="s">
        <v>34</v>
      </c>
      <c r="E351" s="1" t="s">
        <v>35</v>
      </c>
      <c r="F351">
        <v>100</v>
      </c>
      <c r="G351">
        <v>24</v>
      </c>
      <c r="H351" s="1" t="s">
        <v>13</v>
      </c>
      <c r="I351" s="1" t="s">
        <v>14</v>
      </c>
      <c r="J351">
        <v>5</v>
      </c>
      <c r="K351" t="s">
        <v>53</v>
      </c>
      <c r="L351" t="s">
        <v>58</v>
      </c>
      <c r="M351" t="s">
        <v>51</v>
      </c>
    </row>
    <row r="352" spans="1:13" x14ac:dyDescent="0.35">
      <c r="A352">
        <v>357</v>
      </c>
      <c r="B352">
        <v>67</v>
      </c>
      <c r="C352" s="1" t="s">
        <v>15</v>
      </c>
      <c r="D352" s="1" t="s">
        <v>38</v>
      </c>
      <c r="E352" s="1" t="s">
        <v>39</v>
      </c>
      <c r="F352">
        <v>20000</v>
      </c>
      <c r="G352">
        <v>32</v>
      </c>
      <c r="H352" s="1" t="s">
        <v>13</v>
      </c>
      <c r="I352" s="1" t="s">
        <v>14</v>
      </c>
      <c r="J352">
        <v>3</v>
      </c>
      <c r="K352" t="s">
        <v>55</v>
      </c>
      <c r="L352" t="s">
        <v>59</v>
      </c>
      <c r="M352" t="s">
        <v>52</v>
      </c>
    </row>
    <row r="353" spans="1:13" x14ac:dyDescent="0.35">
      <c r="A353">
        <v>358</v>
      </c>
      <c r="B353">
        <v>35</v>
      </c>
      <c r="C353" s="1" t="s">
        <v>10</v>
      </c>
      <c r="D353" s="1" t="s">
        <v>40</v>
      </c>
      <c r="E353" s="1" t="s">
        <v>41</v>
      </c>
      <c r="F353">
        <v>12000</v>
      </c>
      <c r="G353">
        <v>26</v>
      </c>
      <c r="H353" s="1" t="s">
        <v>13</v>
      </c>
      <c r="I353" s="1" t="s">
        <v>14</v>
      </c>
      <c r="J353">
        <v>4</v>
      </c>
      <c r="K353" t="s">
        <v>53</v>
      </c>
      <c r="L353" t="s">
        <v>58</v>
      </c>
      <c r="M353" t="s">
        <v>51</v>
      </c>
    </row>
    <row r="354" spans="1:13" x14ac:dyDescent="0.35">
      <c r="A354">
        <v>359</v>
      </c>
      <c r="B354">
        <v>50</v>
      </c>
      <c r="C354" s="1" t="s">
        <v>15</v>
      </c>
      <c r="D354" s="1" t="s">
        <v>42</v>
      </c>
      <c r="E354" s="1" t="s">
        <v>43</v>
      </c>
      <c r="F354">
        <v>6000</v>
      </c>
      <c r="G354">
        <v>27</v>
      </c>
      <c r="H354" s="1" t="s">
        <v>13</v>
      </c>
      <c r="I354" s="1" t="s">
        <v>14</v>
      </c>
      <c r="J354">
        <v>3</v>
      </c>
      <c r="K354" t="s">
        <v>49</v>
      </c>
      <c r="L354" t="s">
        <v>58</v>
      </c>
      <c r="M354" t="s">
        <v>52</v>
      </c>
    </row>
    <row r="355" spans="1:13" x14ac:dyDescent="0.35">
      <c r="A355">
        <v>360</v>
      </c>
      <c r="B355">
        <v>60</v>
      </c>
      <c r="C355" s="1" t="s">
        <v>10</v>
      </c>
      <c r="D355" s="1" t="s">
        <v>44</v>
      </c>
      <c r="E355" s="1" t="s">
        <v>45</v>
      </c>
      <c r="F355">
        <v>4000</v>
      </c>
      <c r="G355">
        <v>28</v>
      </c>
      <c r="H355" s="1" t="s">
        <v>13</v>
      </c>
      <c r="I355" s="1" t="s">
        <v>19</v>
      </c>
      <c r="J355">
        <v>4</v>
      </c>
      <c r="K355" t="s">
        <v>49</v>
      </c>
      <c r="L355" t="s">
        <v>58</v>
      </c>
      <c r="M355" t="s">
        <v>51</v>
      </c>
    </row>
    <row r="356" spans="1:13" x14ac:dyDescent="0.35">
      <c r="A356">
        <v>361</v>
      </c>
      <c r="B356">
        <v>48</v>
      </c>
      <c r="C356" s="1" t="s">
        <v>10</v>
      </c>
      <c r="D356" s="1" t="s">
        <v>11</v>
      </c>
      <c r="E356" s="1" t="s">
        <v>12</v>
      </c>
      <c r="F356">
        <v>15000</v>
      </c>
      <c r="G356">
        <v>29</v>
      </c>
      <c r="H356" s="1" t="s">
        <v>18</v>
      </c>
      <c r="I356" s="1" t="s">
        <v>14</v>
      </c>
      <c r="J356">
        <v>4</v>
      </c>
      <c r="K356" t="s">
        <v>49</v>
      </c>
      <c r="L356" t="s">
        <v>58</v>
      </c>
      <c r="M356" t="s">
        <v>51</v>
      </c>
    </row>
    <row r="357" spans="1:13" x14ac:dyDescent="0.35">
      <c r="A357">
        <v>362</v>
      </c>
      <c r="B357">
        <v>65</v>
      </c>
      <c r="C357" s="1" t="s">
        <v>15</v>
      </c>
      <c r="D357" s="1" t="s">
        <v>16</v>
      </c>
      <c r="E357" s="1" t="s">
        <v>17</v>
      </c>
      <c r="F357">
        <v>2000</v>
      </c>
      <c r="G357">
        <v>27</v>
      </c>
      <c r="H357" s="1" t="s">
        <v>13</v>
      </c>
      <c r="I357" s="1" t="s">
        <v>19</v>
      </c>
      <c r="J357">
        <v>3</v>
      </c>
      <c r="K357" t="s">
        <v>55</v>
      </c>
      <c r="L357" t="s">
        <v>58</v>
      </c>
      <c r="M357" t="s">
        <v>52</v>
      </c>
    </row>
    <row r="358" spans="1:13" x14ac:dyDescent="0.35">
      <c r="A358">
        <v>363</v>
      </c>
      <c r="B358">
        <v>30</v>
      </c>
      <c r="C358" s="1" t="s">
        <v>10</v>
      </c>
      <c r="D358" s="1" t="s">
        <v>20</v>
      </c>
      <c r="E358" s="1" t="s">
        <v>21</v>
      </c>
      <c r="F358">
        <v>500</v>
      </c>
      <c r="G358">
        <v>25</v>
      </c>
      <c r="H358" s="1" t="s">
        <v>13</v>
      </c>
      <c r="I358" s="1" t="s">
        <v>14</v>
      </c>
      <c r="J358">
        <v>5</v>
      </c>
      <c r="K358" t="s">
        <v>53</v>
      </c>
      <c r="L358" t="s">
        <v>58</v>
      </c>
      <c r="M358" t="s">
        <v>51</v>
      </c>
    </row>
    <row r="359" spans="1:13" x14ac:dyDescent="0.35">
      <c r="A359">
        <v>364</v>
      </c>
      <c r="B359">
        <v>70</v>
      </c>
      <c r="C359" s="1" t="s">
        <v>15</v>
      </c>
      <c r="D359" s="1" t="s">
        <v>22</v>
      </c>
      <c r="E359" s="1" t="s">
        <v>23</v>
      </c>
      <c r="F359">
        <v>10000</v>
      </c>
      <c r="G359">
        <v>31</v>
      </c>
      <c r="H359" s="1" t="s">
        <v>18</v>
      </c>
      <c r="I359" s="1" t="s">
        <v>19</v>
      </c>
      <c r="J359">
        <v>2</v>
      </c>
      <c r="K359" t="s">
        <v>55</v>
      </c>
      <c r="L359" t="s">
        <v>59</v>
      </c>
      <c r="M359" t="s">
        <v>57</v>
      </c>
    </row>
    <row r="360" spans="1:13" x14ac:dyDescent="0.35">
      <c r="A360">
        <v>365</v>
      </c>
      <c r="B360">
        <v>55</v>
      </c>
      <c r="C360" s="1" t="s">
        <v>10</v>
      </c>
      <c r="D360" s="1" t="s">
        <v>24</v>
      </c>
      <c r="E360" s="1" t="s">
        <v>25</v>
      </c>
      <c r="F360">
        <v>25000</v>
      </c>
      <c r="G360">
        <v>34</v>
      </c>
      <c r="H360" s="1" t="s">
        <v>13</v>
      </c>
      <c r="I360" s="1" t="s">
        <v>14</v>
      </c>
      <c r="J360">
        <v>4</v>
      </c>
      <c r="K360" t="s">
        <v>49</v>
      </c>
      <c r="L360" t="s">
        <v>59</v>
      </c>
      <c r="M360" t="s">
        <v>51</v>
      </c>
    </row>
    <row r="361" spans="1:13" x14ac:dyDescent="0.35">
      <c r="A361">
        <v>366</v>
      </c>
      <c r="B361">
        <v>68</v>
      </c>
      <c r="C361" s="1" t="s">
        <v>15</v>
      </c>
      <c r="D361" s="1" t="s">
        <v>26</v>
      </c>
      <c r="E361" s="1" t="s">
        <v>27</v>
      </c>
      <c r="F361">
        <v>1000</v>
      </c>
      <c r="G361">
        <v>26</v>
      </c>
      <c r="H361" s="1" t="s">
        <v>13</v>
      </c>
      <c r="I361" s="1" t="s">
        <v>19</v>
      </c>
      <c r="J361">
        <v>4</v>
      </c>
      <c r="K361" t="s">
        <v>55</v>
      </c>
      <c r="L361" t="s">
        <v>58</v>
      </c>
      <c r="M361" t="s">
        <v>51</v>
      </c>
    </row>
    <row r="362" spans="1:13" x14ac:dyDescent="0.35">
      <c r="A362">
        <v>367</v>
      </c>
      <c r="B362">
        <v>45</v>
      </c>
      <c r="C362" s="1" t="s">
        <v>10</v>
      </c>
      <c r="D362" s="1" t="s">
        <v>28</v>
      </c>
      <c r="E362" s="1" t="s">
        <v>29</v>
      </c>
      <c r="F362">
        <v>8000</v>
      </c>
      <c r="G362">
        <v>28</v>
      </c>
      <c r="H362" s="1" t="s">
        <v>13</v>
      </c>
      <c r="I362" s="1" t="s">
        <v>14</v>
      </c>
      <c r="J362">
        <v>3</v>
      </c>
      <c r="K362" t="s">
        <v>49</v>
      </c>
      <c r="L362" t="s">
        <v>58</v>
      </c>
      <c r="M362" t="s">
        <v>52</v>
      </c>
    </row>
    <row r="363" spans="1:13" x14ac:dyDescent="0.35">
      <c r="A363">
        <v>368</v>
      </c>
      <c r="B363">
        <v>40</v>
      </c>
      <c r="C363" s="1" t="s">
        <v>15</v>
      </c>
      <c r="D363" s="1" t="s">
        <v>30</v>
      </c>
      <c r="E363" s="1" t="s">
        <v>31</v>
      </c>
      <c r="F363">
        <v>3000</v>
      </c>
      <c r="G363">
        <v>30</v>
      </c>
      <c r="H363" s="1" t="s">
        <v>13</v>
      </c>
      <c r="I363" s="1" t="s">
        <v>14</v>
      </c>
      <c r="J363">
        <v>4</v>
      </c>
      <c r="K363" t="s">
        <v>49</v>
      </c>
      <c r="L363" t="s">
        <v>58</v>
      </c>
      <c r="M363" t="s">
        <v>51</v>
      </c>
    </row>
    <row r="364" spans="1:13" x14ac:dyDescent="0.35">
      <c r="A364">
        <v>369</v>
      </c>
      <c r="B364">
        <v>78</v>
      </c>
      <c r="C364" s="1" t="s">
        <v>10</v>
      </c>
      <c r="D364" s="1" t="s">
        <v>32</v>
      </c>
      <c r="E364" s="1" t="s">
        <v>33</v>
      </c>
      <c r="F364">
        <v>18000</v>
      </c>
      <c r="G364">
        <v>32</v>
      </c>
      <c r="H364" s="1" t="s">
        <v>18</v>
      </c>
      <c r="I364" s="1" t="s">
        <v>19</v>
      </c>
      <c r="J364">
        <v>2</v>
      </c>
      <c r="K364" t="s">
        <v>55</v>
      </c>
      <c r="L364" t="s">
        <v>59</v>
      </c>
      <c r="M364" t="s">
        <v>57</v>
      </c>
    </row>
    <row r="365" spans="1:13" x14ac:dyDescent="0.35">
      <c r="A365">
        <v>370</v>
      </c>
      <c r="B365">
        <v>25</v>
      </c>
      <c r="C365" s="1" t="s">
        <v>15</v>
      </c>
      <c r="D365" s="1" t="s">
        <v>34</v>
      </c>
      <c r="E365" s="1" t="s">
        <v>35</v>
      </c>
      <c r="F365">
        <v>100</v>
      </c>
      <c r="G365">
        <v>25</v>
      </c>
      <c r="H365" s="1" t="s">
        <v>13</v>
      </c>
      <c r="I365" s="1" t="s">
        <v>14</v>
      </c>
      <c r="J365">
        <v>5</v>
      </c>
      <c r="K365" t="s">
        <v>53</v>
      </c>
      <c r="L365" t="s">
        <v>58</v>
      </c>
      <c r="M365" t="s">
        <v>51</v>
      </c>
    </row>
    <row r="366" spans="1:13" x14ac:dyDescent="0.35">
      <c r="A366">
        <v>371</v>
      </c>
      <c r="B366">
        <v>52</v>
      </c>
      <c r="C366" s="1" t="s">
        <v>10</v>
      </c>
      <c r="D366" s="1" t="s">
        <v>36</v>
      </c>
      <c r="E366" s="1" t="s">
        <v>37</v>
      </c>
      <c r="F366">
        <v>800</v>
      </c>
      <c r="G366">
        <v>26</v>
      </c>
      <c r="H366" s="1" t="s">
        <v>13</v>
      </c>
      <c r="I366" s="1" t="s">
        <v>19</v>
      </c>
      <c r="J366">
        <v>4</v>
      </c>
      <c r="K366" t="s">
        <v>49</v>
      </c>
      <c r="L366" t="s">
        <v>58</v>
      </c>
      <c r="M366" t="s">
        <v>51</v>
      </c>
    </row>
    <row r="367" spans="1:13" x14ac:dyDescent="0.35">
      <c r="A367">
        <v>372</v>
      </c>
      <c r="B367">
        <v>58</v>
      </c>
      <c r="C367" s="1" t="s">
        <v>15</v>
      </c>
      <c r="D367" s="1" t="s">
        <v>38</v>
      </c>
      <c r="E367" s="1" t="s">
        <v>39</v>
      </c>
      <c r="F367">
        <v>20000</v>
      </c>
      <c r="G367">
        <v>33</v>
      </c>
      <c r="H367" s="1" t="s">
        <v>13</v>
      </c>
      <c r="I367" s="1" t="s">
        <v>14</v>
      </c>
      <c r="J367">
        <v>3</v>
      </c>
      <c r="K367" t="s">
        <v>49</v>
      </c>
      <c r="L367" t="s">
        <v>59</v>
      </c>
      <c r="M367" t="s">
        <v>52</v>
      </c>
    </row>
    <row r="368" spans="1:13" x14ac:dyDescent="0.35">
      <c r="A368">
        <v>373</v>
      </c>
      <c r="B368">
        <v>32</v>
      </c>
      <c r="C368" s="1" t="s">
        <v>10</v>
      </c>
      <c r="D368" s="1" t="s">
        <v>40</v>
      </c>
      <c r="E368" s="1" t="s">
        <v>41</v>
      </c>
      <c r="F368">
        <v>12000</v>
      </c>
      <c r="G368">
        <v>27</v>
      </c>
      <c r="H368" s="1" t="s">
        <v>13</v>
      </c>
      <c r="I368" s="1" t="s">
        <v>14</v>
      </c>
      <c r="J368">
        <v>4</v>
      </c>
      <c r="K368" t="s">
        <v>53</v>
      </c>
      <c r="L368" t="s">
        <v>58</v>
      </c>
      <c r="M368" t="s">
        <v>51</v>
      </c>
    </row>
    <row r="369" spans="1:13" x14ac:dyDescent="0.35">
      <c r="A369">
        <v>374</v>
      </c>
      <c r="B369">
        <v>55</v>
      </c>
      <c r="C369" s="1" t="s">
        <v>15</v>
      </c>
      <c r="D369" s="1" t="s">
        <v>42</v>
      </c>
      <c r="E369" s="1" t="s">
        <v>43</v>
      </c>
      <c r="F369">
        <v>6000</v>
      </c>
      <c r="G369">
        <v>28</v>
      </c>
      <c r="H369" s="1" t="s">
        <v>13</v>
      </c>
      <c r="I369" s="1" t="s">
        <v>14</v>
      </c>
      <c r="J369">
        <v>3</v>
      </c>
      <c r="K369" t="s">
        <v>49</v>
      </c>
      <c r="L369" t="s">
        <v>58</v>
      </c>
      <c r="M369" t="s">
        <v>52</v>
      </c>
    </row>
    <row r="370" spans="1:13" x14ac:dyDescent="0.35">
      <c r="A370">
        <v>375</v>
      </c>
      <c r="B370">
        <v>65</v>
      </c>
      <c r="C370" s="1" t="s">
        <v>10</v>
      </c>
      <c r="D370" s="1" t="s">
        <v>44</v>
      </c>
      <c r="E370" s="1" t="s">
        <v>45</v>
      </c>
      <c r="F370">
        <v>4000</v>
      </c>
      <c r="G370">
        <v>29</v>
      </c>
      <c r="H370" s="1" t="s">
        <v>13</v>
      </c>
      <c r="I370" s="1" t="s">
        <v>19</v>
      </c>
      <c r="J370">
        <v>4</v>
      </c>
      <c r="K370" t="s">
        <v>55</v>
      </c>
      <c r="L370" t="s">
        <v>58</v>
      </c>
      <c r="M370" t="s">
        <v>51</v>
      </c>
    </row>
    <row r="371" spans="1:13" x14ac:dyDescent="0.35">
      <c r="A371">
        <v>376</v>
      </c>
      <c r="B371">
        <v>55</v>
      </c>
      <c r="C371" s="1" t="s">
        <v>10</v>
      </c>
      <c r="D371" s="1" t="s">
        <v>11</v>
      </c>
      <c r="E371" s="1" t="s">
        <v>12</v>
      </c>
      <c r="F371">
        <v>15000</v>
      </c>
      <c r="G371">
        <v>30</v>
      </c>
      <c r="H371" s="1" t="s">
        <v>18</v>
      </c>
      <c r="I371" s="1" t="s">
        <v>14</v>
      </c>
      <c r="J371">
        <v>3</v>
      </c>
      <c r="K371" t="s">
        <v>49</v>
      </c>
      <c r="L371" t="s">
        <v>58</v>
      </c>
      <c r="M371" t="s">
        <v>52</v>
      </c>
    </row>
    <row r="372" spans="1:13" x14ac:dyDescent="0.35">
      <c r="A372">
        <v>377</v>
      </c>
      <c r="B372">
        <v>62</v>
      </c>
      <c r="C372" s="1" t="s">
        <v>15</v>
      </c>
      <c r="D372" s="1" t="s">
        <v>16</v>
      </c>
      <c r="E372" s="1" t="s">
        <v>17</v>
      </c>
      <c r="F372">
        <v>2000</v>
      </c>
      <c r="G372">
        <v>28</v>
      </c>
      <c r="H372" s="1" t="s">
        <v>13</v>
      </c>
      <c r="I372" s="1" t="s">
        <v>19</v>
      </c>
      <c r="J372">
        <v>4</v>
      </c>
      <c r="K372" t="s">
        <v>55</v>
      </c>
      <c r="L372" t="s">
        <v>58</v>
      </c>
      <c r="M372" t="s">
        <v>51</v>
      </c>
    </row>
    <row r="373" spans="1:13" x14ac:dyDescent="0.35">
      <c r="A373">
        <v>378</v>
      </c>
      <c r="B373">
        <v>35</v>
      </c>
      <c r="C373" s="1" t="s">
        <v>10</v>
      </c>
      <c r="D373" s="1" t="s">
        <v>20</v>
      </c>
      <c r="E373" s="1" t="s">
        <v>21</v>
      </c>
      <c r="F373">
        <v>500</v>
      </c>
      <c r="G373">
        <v>26</v>
      </c>
      <c r="H373" s="1" t="s">
        <v>18</v>
      </c>
      <c r="I373" s="1" t="s">
        <v>14</v>
      </c>
      <c r="J373">
        <v>5</v>
      </c>
      <c r="K373" t="s">
        <v>53</v>
      </c>
      <c r="L373" t="s">
        <v>58</v>
      </c>
      <c r="M373" t="s">
        <v>51</v>
      </c>
    </row>
    <row r="374" spans="1:13" x14ac:dyDescent="0.35">
      <c r="A374">
        <v>379</v>
      </c>
      <c r="B374">
        <v>78</v>
      </c>
      <c r="C374" s="1" t="s">
        <v>15</v>
      </c>
      <c r="D374" s="1" t="s">
        <v>22</v>
      </c>
      <c r="E374" s="1" t="s">
        <v>23</v>
      </c>
      <c r="F374">
        <v>10000</v>
      </c>
      <c r="G374">
        <v>33</v>
      </c>
      <c r="H374" s="1" t="s">
        <v>13</v>
      </c>
      <c r="I374" s="1" t="s">
        <v>19</v>
      </c>
      <c r="J374">
        <v>2</v>
      </c>
      <c r="K374" t="s">
        <v>55</v>
      </c>
      <c r="L374" t="s">
        <v>59</v>
      </c>
      <c r="M374" t="s">
        <v>57</v>
      </c>
    </row>
    <row r="375" spans="1:13" x14ac:dyDescent="0.35">
      <c r="A375">
        <v>380</v>
      </c>
      <c r="B375">
        <v>53</v>
      </c>
      <c r="C375" s="1" t="s">
        <v>10</v>
      </c>
      <c r="D375" s="1" t="s">
        <v>24</v>
      </c>
      <c r="E375" s="1" t="s">
        <v>25</v>
      </c>
      <c r="F375">
        <v>25000</v>
      </c>
      <c r="G375">
        <v>35</v>
      </c>
      <c r="H375" s="1" t="s">
        <v>18</v>
      </c>
      <c r="I375" s="1" t="s">
        <v>14</v>
      </c>
      <c r="J375">
        <v>4</v>
      </c>
      <c r="K375" t="s">
        <v>49</v>
      </c>
      <c r="L375" t="s">
        <v>59</v>
      </c>
      <c r="M375" t="s">
        <v>51</v>
      </c>
    </row>
    <row r="376" spans="1:13" x14ac:dyDescent="0.35">
      <c r="A376">
        <v>381</v>
      </c>
      <c r="B376">
        <v>72</v>
      </c>
      <c r="C376" s="1" t="s">
        <v>15</v>
      </c>
      <c r="D376" s="1" t="s">
        <v>26</v>
      </c>
      <c r="E376" s="1" t="s">
        <v>27</v>
      </c>
      <c r="F376">
        <v>1000</v>
      </c>
      <c r="G376">
        <v>27</v>
      </c>
      <c r="H376" s="1" t="s">
        <v>13</v>
      </c>
      <c r="I376" s="1" t="s">
        <v>19</v>
      </c>
      <c r="J376">
        <v>4</v>
      </c>
      <c r="K376" t="s">
        <v>55</v>
      </c>
      <c r="L376" t="s">
        <v>58</v>
      </c>
      <c r="M376" t="s">
        <v>51</v>
      </c>
    </row>
    <row r="377" spans="1:13" x14ac:dyDescent="0.35">
      <c r="A377">
        <v>382</v>
      </c>
      <c r="B377">
        <v>60</v>
      </c>
      <c r="C377" s="1" t="s">
        <v>10</v>
      </c>
      <c r="D377" s="1" t="s">
        <v>28</v>
      </c>
      <c r="E377" s="1" t="s">
        <v>29</v>
      </c>
      <c r="F377">
        <v>8000</v>
      </c>
      <c r="G377">
        <v>29</v>
      </c>
      <c r="H377" s="1" t="s">
        <v>18</v>
      </c>
      <c r="I377" s="1" t="s">
        <v>14</v>
      </c>
      <c r="J377">
        <v>3</v>
      </c>
      <c r="K377" t="s">
        <v>49</v>
      </c>
      <c r="L377" t="s">
        <v>58</v>
      </c>
      <c r="M377" t="s">
        <v>52</v>
      </c>
    </row>
    <row r="378" spans="1:13" x14ac:dyDescent="0.35">
      <c r="A378">
        <v>383</v>
      </c>
      <c r="B378">
        <v>45</v>
      </c>
      <c r="C378" s="1" t="s">
        <v>15</v>
      </c>
      <c r="D378" s="1" t="s">
        <v>30</v>
      </c>
      <c r="E378" s="1" t="s">
        <v>31</v>
      </c>
      <c r="F378">
        <v>3000</v>
      </c>
      <c r="G378">
        <v>31</v>
      </c>
      <c r="H378" s="1" t="s">
        <v>13</v>
      </c>
      <c r="I378" s="1" t="s">
        <v>14</v>
      </c>
      <c r="J378">
        <v>4</v>
      </c>
      <c r="K378" t="s">
        <v>49</v>
      </c>
      <c r="L378" t="s">
        <v>59</v>
      </c>
      <c r="M378" t="s">
        <v>51</v>
      </c>
    </row>
    <row r="379" spans="1:13" x14ac:dyDescent="0.35">
      <c r="A379">
        <v>384</v>
      </c>
      <c r="B379">
        <v>75</v>
      </c>
      <c r="C379" s="1" t="s">
        <v>10</v>
      </c>
      <c r="D379" s="1" t="s">
        <v>32</v>
      </c>
      <c r="E379" s="1" t="s">
        <v>33</v>
      </c>
      <c r="F379">
        <v>18000</v>
      </c>
      <c r="G379">
        <v>33</v>
      </c>
      <c r="H379" s="1" t="s">
        <v>18</v>
      </c>
      <c r="I379" s="1" t="s">
        <v>19</v>
      </c>
      <c r="J379">
        <v>2</v>
      </c>
      <c r="K379" t="s">
        <v>55</v>
      </c>
      <c r="L379" t="s">
        <v>59</v>
      </c>
      <c r="M379" t="s">
        <v>57</v>
      </c>
    </row>
    <row r="380" spans="1:13" x14ac:dyDescent="0.35">
      <c r="A380">
        <v>385</v>
      </c>
      <c r="B380">
        <v>28</v>
      </c>
      <c r="C380" s="1" t="s">
        <v>15</v>
      </c>
      <c r="D380" s="1" t="s">
        <v>34</v>
      </c>
      <c r="E380" s="1" t="s">
        <v>35</v>
      </c>
      <c r="F380">
        <v>100</v>
      </c>
      <c r="G380">
        <v>26</v>
      </c>
      <c r="H380" s="1" t="s">
        <v>13</v>
      </c>
      <c r="I380" s="1" t="s">
        <v>14</v>
      </c>
      <c r="J380">
        <v>5</v>
      </c>
      <c r="K380" t="s">
        <v>53</v>
      </c>
      <c r="L380" t="s">
        <v>58</v>
      </c>
      <c r="M380" t="s">
        <v>51</v>
      </c>
    </row>
    <row r="381" spans="1:13" x14ac:dyDescent="0.35">
      <c r="A381">
        <v>386</v>
      </c>
      <c r="B381">
        <v>52</v>
      </c>
      <c r="C381" s="1" t="s">
        <v>10</v>
      </c>
      <c r="D381" s="1" t="s">
        <v>36</v>
      </c>
      <c r="E381" s="1" t="s">
        <v>37</v>
      </c>
      <c r="F381">
        <v>800</v>
      </c>
      <c r="G381">
        <v>27</v>
      </c>
      <c r="H381" s="1" t="s">
        <v>13</v>
      </c>
      <c r="I381" s="1" t="s">
        <v>19</v>
      </c>
      <c r="J381">
        <v>4</v>
      </c>
      <c r="K381" t="s">
        <v>49</v>
      </c>
      <c r="L381" t="s">
        <v>58</v>
      </c>
      <c r="M381" t="s">
        <v>51</v>
      </c>
    </row>
    <row r="382" spans="1:13" x14ac:dyDescent="0.35">
      <c r="A382">
        <v>387</v>
      </c>
      <c r="B382">
        <v>67</v>
      </c>
      <c r="C382" s="1" t="s">
        <v>15</v>
      </c>
      <c r="D382" s="1" t="s">
        <v>38</v>
      </c>
      <c r="E382" s="1" t="s">
        <v>39</v>
      </c>
      <c r="F382">
        <v>20000</v>
      </c>
      <c r="G382">
        <v>34</v>
      </c>
      <c r="H382" s="1" t="s">
        <v>13</v>
      </c>
      <c r="I382" s="1" t="s">
        <v>14</v>
      </c>
      <c r="J382">
        <v>3</v>
      </c>
      <c r="K382" t="s">
        <v>55</v>
      </c>
      <c r="L382" t="s">
        <v>59</v>
      </c>
      <c r="M382" t="s">
        <v>52</v>
      </c>
    </row>
    <row r="383" spans="1:13" x14ac:dyDescent="0.35">
      <c r="A383">
        <v>388</v>
      </c>
      <c r="B383">
        <v>35</v>
      </c>
      <c r="C383" s="1" t="s">
        <v>10</v>
      </c>
      <c r="D383" s="1" t="s">
        <v>40</v>
      </c>
      <c r="E383" s="1" t="s">
        <v>41</v>
      </c>
      <c r="F383">
        <v>12000</v>
      </c>
      <c r="G383">
        <v>28</v>
      </c>
      <c r="H383" s="1" t="s">
        <v>13</v>
      </c>
      <c r="I383" s="1" t="s">
        <v>14</v>
      </c>
      <c r="J383">
        <v>4</v>
      </c>
      <c r="K383" t="s">
        <v>53</v>
      </c>
      <c r="L383" t="s">
        <v>58</v>
      </c>
      <c r="M383" t="s">
        <v>51</v>
      </c>
    </row>
    <row r="384" spans="1:13" x14ac:dyDescent="0.35">
      <c r="A384">
        <v>389</v>
      </c>
      <c r="B384">
        <v>50</v>
      </c>
      <c r="C384" s="1" t="s">
        <v>15</v>
      </c>
      <c r="D384" s="1" t="s">
        <v>42</v>
      </c>
      <c r="E384" s="1" t="s">
        <v>43</v>
      </c>
      <c r="F384">
        <v>6000</v>
      </c>
      <c r="G384">
        <v>29</v>
      </c>
      <c r="H384" s="1" t="s">
        <v>13</v>
      </c>
      <c r="I384" s="1" t="s">
        <v>14</v>
      </c>
      <c r="J384">
        <v>3</v>
      </c>
      <c r="K384" t="s">
        <v>49</v>
      </c>
      <c r="L384" t="s">
        <v>58</v>
      </c>
      <c r="M384" t="s">
        <v>52</v>
      </c>
    </row>
    <row r="385" spans="1:13" x14ac:dyDescent="0.35">
      <c r="A385">
        <v>390</v>
      </c>
      <c r="B385">
        <v>60</v>
      </c>
      <c r="C385" s="1" t="s">
        <v>10</v>
      </c>
      <c r="D385" s="1" t="s">
        <v>44</v>
      </c>
      <c r="E385" s="1" t="s">
        <v>45</v>
      </c>
      <c r="F385">
        <v>4000</v>
      </c>
      <c r="G385">
        <v>30</v>
      </c>
      <c r="H385" s="1" t="s">
        <v>13</v>
      </c>
      <c r="I385" s="1" t="s">
        <v>19</v>
      </c>
      <c r="J385">
        <v>4</v>
      </c>
      <c r="K385" t="s">
        <v>49</v>
      </c>
      <c r="L385" t="s">
        <v>58</v>
      </c>
      <c r="M385" t="s">
        <v>51</v>
      </c>
    </row>
    <row r="386" spans="1:13" x14ac:dyDescent="0.35">
      <c r="A386">
        <v>391</v>
      </c>
      <c r="B386">
        <v>48</v>
      </c>
      <c r="C386" s="1" t="s">
        <v>10</v>
      </c>
      <c r="D386" s="1" t="s">
        <v>11</v>
      </c>
      <c r="E386" s="1" t="s">
        <v>12</v>
      </c>
      <c r="F386">
        <v>15000</v>
      </c>
      <c r="G386">
        <v>31</v>
      </c>
      <c r="H386" s="1" t="s">
        <v>18</v>
      </c>
      <c r="I386" s="1" t="s">
        <v>14</v>
      </c>
      <c r="J386">
        <v>4</v>
      </c>
      <c r="K386" t="s">
        <v>49</v>
      </c>
      <c r="L386" t="s">
        <v>59</v>
      </c>
      <c r="M386" t="s">
        <v>51</v>
      </c>
    </row>
    <row r="387" spans="1:13" x14ac:dyDescent="0.35">
      <c r="A387">
        <v>392</v>
      </c>
      <c r="B387">
        <v>65</v>
      </c>
      <c r="C387" s="1" t="s">
        <v>15</v>
      </c>
      <c r="D387" s="1" t="s">
        <v>16</v>
      </c>
      <c r="E387" s="1" t="s">
        <v>17</v>
      </c>
      <c r="F387">
        <v>2000</v>
      </c>
      <c r="G387">
        <v>29</v>
      </c>
      <c r="H387" s="1" t="s">
        <v>13</v>
      </c>
      <c r="I387" s="1" t="s">
        <v>19</v>
      </c>
      <c r="J387">
        <v>3</v>
      </c>
      <c r="K387" t="s">
        <v>55</v>
      </c>
      <c r="L387" t="s">
        <v>58</v>
      </c>
      <c r="M387" t="s">
        <v>52</v>
      </c>
    </row>
    <row r="388" spans="1:13" x14ac:dyDescent="0.35">
      <c r="A388">
        <v>393</v>
      </c>
      <c r="B388">
        <v>30</v>
      </c>
      <c r="C388" s="1" t="s">
        <v>10</v>
      </c>
      <c r="D388" s="1" t="s">
        <v>20</v>
      </c>
      <c r="E388" s="1" t="s">
        <v>21</v>
      </c>
      <c r="F388">
        <v>500</v>
      </c>
      <c r="G388">
        <v>27</v>
      </c>
      <c r="H388" s="1" t="s">
        <v>13</v>
      </c>
      <c r="I388" s="1" t="s">
        <v>14</v>
      </c>
      <c r="J388">
        <v>5</v>
      </c>
      <c r="K388" t="s">
        <v>53</v>
      </c>
      <c r="L388" t="s">
        <v>58</v>
      </c>
      <c r="M388" t="s">
        <v>51</v>
      </c>
    </row>
    <row r="389" spans="1:13" x14ac:dyDescent="0.35">
      <c r="A389">
        <v>394</v>
      </c>
      <c r="B389">
        <v>70</v>
      </c>
      <c r="C389" s="1" t="s">
        <v>15</v>
      </c>
      <c r="D389" s="1" t="s">
        <v>22</v>
      </c>
      <c r="E389" s="1" t="s">
        <v>23</v>
      </c>
      <c r="F389">
        <v>10000</v>
      </c>
      <c r="G389">
        <v>34</v>
      </c>
      <c r="H389" s="1" t="s">
        <v>18</v>
      </c>
      <c r="I389" s="1" t="s">
        <v>19</v>
      </c>
      <c r="J389">
        <v>2</v>
      </c>
      <c r="K389" t="s">
        <v>55</v>
      </c>
      <c r="L389" t="s">
        <v>59</v>
      </c>
      <c r="M389" t="s">
        <v>57</v>
      </c>
    </row>
    <row r="390" spans="1:13" x14ac:dyDescent="0.35">
      <c r="A390">
        <v>395</v>
      </c>
      <c r="B390">
        <v>55</v>
      </c>
      <c r="C390" s="1" t="s">
        <v>10</v>
      </c>
      <c r="D390" s="1" t="s">
        <v>24</v>
      </c>
      <c r="E390" s="1" t="s">
        <v>25</v>
      </c>
      <c r="F390">
        <v>25000</v>
      </c>
      <c r="G390">
        <v>36</v>
      </c>
      <c r="H390" s="1" t="s">
        <v>13</v>
      </c>
      <c r="I390" s="1" t="s">
        <v>14</v>
      </c>
      <c r="J390">
        <v>4</v>
      </c>
      <c r="K390" t="s">
        <v>49</v>
      </c>
      <c r="L390" t="s">
        <v>59</v>
      </c>
      <c r="M390" t="s">
        <v>51</v>
      </c>
    </row>
    <row r="391" spans="1:13" x14ac:dyDescent="0.35">
      <c r="A391">
        <v>396</v>
      </c>
      <c r="B391">
        <v>68</v>
      </c>
      <c r="C391" s="1" t="s">
        <v>15</v>
      </c>
      <c r="D391" s="1" t="s">
        <v>26</v>
      </c>
      <c r="E391" s="1" t="s">
        <v>27</v>
      </c>
      <c r="F391">
        <v>1000</v>
      </c>
      <c r="G391">
        <v>28</v>
      </c>
      <c r="H391" s="1" t="s">
        <v>13</v>
      </c>
      <c r="I391" s="1" t="s">
        <v>19</v>
      </c>
      <c r="J391">
        <v>4</v>
      </c>
      <c r="K391" t="s">
        <v>55</v>
      </c>
      <c r="L391" t="s">
        <v>58</v>
      </c>
      <c r="M391" t="s">
        <v>51</v>
      </c>
    </row>
    <row r="392" spans="1:13" x14ac:dyDescent="0.35">
      <c r="A392">
        <v>397</v>
      </c>
      <c r="B392">
        <v>45</v>
      </c>
      <c r="C392" s="1" t="s">
        <v>10</v>
      </c>
      <c r="D392" s="1" t="s">
        <v>28</v>
      </c>
      <c r="E392" s="1" t="s">
        <v>29</v>
      </c>
      <c r="F392">
        <v>8000</v>
      </c>
      <c r="G392">
        <v>30</v>
      </c>
      <c r="H392" s="1" t="s">
        <v>13</v>
      </c>
      <c r="I392" s="1" t="s">
        <v>14</v>
      </c>
      <c r="J392">
        <v>3</v>
      </c>
      <c r="K392" t="s">
        <v>49</v>
      </c>
      <c r="L392" t="s">
        <v>58</v>
      </c>
      <c r="M392" t="s">
        <v>52</v>
      </c>
    </row>
    <row r="393" spans="1:13" x14ac:dyDescent="0.35">
      <c r="A393">
        <v>398</v>
      </c>
      <c r="B393">
        <v>40</v>
      </c>
      <c r="C393" s="1" t="s">
        <v>15</v>
      </c>
      <c r="D393" s="1" t="s">
        <v>30</v>
      </c>
      <c r="E393" s="1" t="s">
        <v>31</v>
      </c>
      <c r="F393">
        <v>3000</v>
      </c>
      <c r="G393">
        <v>32</v>
      </c>
      <c r="H393" s="1" t="s">
        <v>13</v>
      </c>
      <c r="I393" s="1" t="s">
        <v>14</v>
      </c>
      <c r="J393">
        <v>4</v>
      </c>
      <c r="K393" t="s">
        <v>49</v>
      </c>
      <c r="L393" t="s">
        <v>59</v>
      </c>
      <c r="M393" t="s">
        <v>51</v>
      </c>
    </row>
    <row r="394" spans="1:13" x14ac:dyDescent="0.35">
      <c r="A394">
        <v>399</v>
      </c>
      <c r="B394">
        <v>78</v>
      </c>
      <c r="C394" s="1" t="s">
        <v>10</v>
      </c>
      <c r="D394" s="1" t="s">
        <v>32</v>
      </c>
      <c r="E394" s="1" t="s">
        <v>33</v>
      </c>
      <c r="F394">
        <v>18000</v>
      </c>
      <c r="G394">
        <v>34</v>
      </c>
      <c r="H394" s="1" t="s">
        <v>18</v>
      </c>
      <c r="I394" s="1" t="s">
        <v>19</v>
      </c>
      <c r="J394">
        <v>2</v>
      </c>
      <c r="K394" t="s">
        <v>55</v>
      </c>
      <c r="L394" t="s">
        <v>59</v>
      </c>
      <c r="M394" t="s">
        <v>57</v>
      </c>
    </row>
    <row r="395" spans="1:13" x14ac:dyDescent="0.35">
      <c r="A395">
        <v>400</v>
      </c>
      <c r="B395">
        <v>25</v>
      </c>
      <c r="C395" s="1" t="s">
        <v>15</v>
      </c>
      <c r="D395" s="1" t="s">
        <v>34</v>
      </c>
      <c r="E395" s="1" t="s">
        <v>35</v>
      </c>
      <c r="F395">
        <v>100</v>
      </c>
      <c r="G395">
        <v>27</v>
      </c>
      <c r="H395" s="1" t="s">
        <v>13</v>
      </c>
      <c r="I395" s="1" t="s">
        <v>14</v>
      </c>
      <c r="J395">
        <v>5</v>
      </c>
      <c r="K395" t="s">
        <v>53</v>
      </c>
      <c r="L395" t="s">
        <v>58</v>
      </c>
      <c r="M395" t="s">
        <v>51</v>
      </c>
    </row>
    <row r="396" spans="1:13" x14ac:dyDescent="0.35">
      <c r="A396">
        <v>401</v>
      </c>
      <c r="B396">
        <v>52</v>
      </c>
      <c r="C396" s="1" t="s">
        <v>10</v>
      </c>
      <c r="D396" s="1" t="s">
        <v>36</v>
      </c>
      <c r="E396" s="1" t="s">
        <v>37</v>
      </c>
      <c r="F396">
        <v>800</v>
      </c>
      <c r="G396">
        <v>28</v>
      </c>
      <c r="H396" s="1" t="s">
        <v>13</v>
      </c>
      <c r="I396" s="1" t="s">
        <v>19</v>
      </c>
      <c r="J396">
        <v>4</v>
      </c>
      <c r="K396" t="s">
        <v>49</v>
      </c>
      <c r="L396" t="s">
        <v>58</v>
      </c>
      <c r="M396" t="s">
        <v>51</v>
      </c>
    </row>
    <row r="397" spans="1:13" x14ac:dyDescent="0.35">
      <c r="A397">
        <v>402</v>
      </c>
      <c r="B397">
        <v>58</v>
      </c>
      <c r="C397" s="1" t="s">
        <v>15</v>
      </c>
      <c r="D397" s="1" t="s">
        <v>38</v>
      </c>
      <c r="E397" s="1" t="s">
        <v>39</v>
      </c>
      <c r="F397">
        <v>20000</v>
      </c>
      <c r="G397">
        <v>35</v>
      </c>
      <c r="H397" s="1" t="s">
        <v>13</v>
      </c>
      <c r="I397" s="1" t="s">
        <v>14</v>
      </c>
      <c r="J397">
        <v>3</v>
      </c>
      <c r="K397" t="s">
        <v>49</v>
      </c>
      <c r="L397" t="s">
        <v>59</v>
      </c>
      <c r="M397" t="s">
        <v>52</v>
      </c>
    </row>
    <row r="398" spans="1:13" x14ac:dyDescent="0.35">
      <c r="A398">
        <v>403</v>
      </c>
      <c r="B398">
        <v>32</v>
      </c>
      <c r="C398" s="1" t="s">
        <v>10</v>
      </c>
      <c r="D398" s="1" t="s">
        <v>40</v>
      </c>
      <c r="E398" s="1" t="s">
        <v>41</v>
      </c>
      <c r="F398">
        <v>12000</v>
      </c>
      <c r="G398">
        <v>29</v>
      </c>
      <c r="H398" s="1" t="s">
        <v>13</v>
      </c>
      <c r="I398" s="1" t="s">
        <v>14</v>
      </c>
      <c r="J398">
        <v>4</v>
      </c>
      <c r="K398" t="s">
        <v>53</v>
      </c>
      <c r="L398" t="s">
        <v>58</v>
      </c>
      <c r="M398" t="s">
        <v>51</v>
      </c>
    </row>
    <row r="399" spans="1:13" x14ac:dyDescent="0.35">
      <c r="A399">
        <v>404</v>
      </c>
      <c r="B399">
        <v>55</v>
      </c>
      <c r="C399" s="1" t="s">
        <v>15</v>
      </c>
      <c r="D399" s="1" t="s">
        <v>42</v>
      </c>
      <c r="E399" s="1" t="s">
        <v>43</v>
      </c>
      <c r="F399">
        <v>6000</v>
      </c>
      <c r="G399">
        <v>30</v>
      </c>
      <c r="H399" s="1" t="s">
        <v>13</v>
      </c>
      <c r="I399" s="1" t="s">
        <v>14</v>
      </c>
      <c r="J399">
        <v>3</v>
      </c>
      <c r="K399" t="s">
        <v>49</v>
      </c>
      <c r="L399" t="s">
        <v>58</v>
      </c>
      <c r="M399" t="s">
        <v>52</v>
      </c>
    </row>
    <row r="400" spans="1:13" x14ac:dyDescent="0.35">
      <c r="A400">
        <v>405</v>
      </c>
      <c r="B400">
        <v>65</v>
      </c>
      <c r="C400" s="1" t="s">
        <v>10</v>
      </c>
      <c r="D400" s="1" t="s">
        <v>44</v>
      </c>
      <c r="E400" s="1" t="s">
        <v>45</v>
      </c>
      <c r="F400">
        <v>4000</v>
      </c>
      <c r="G400">
        <v>31</v>
      </c>
      <c r="H400" s="1" t="s">
        <v>13</v>
      </c>
      <c r="I400" s="1" t="s">
        <v>19</v>
      </c>
      <c r="J400">
        <v>4</v>
      </c>
      <c r="K400" t="s">
        <v>55</v>
      </c>
      <c r="L400" t="s">
        <v>59</v>
      </c>
      <c r="M400" t="s">
        <v>51</v>
      </c>
    </row>
    <row r="401" spans="1:13" x14ac:dyDescent="0.35">
      <c r="A401">
        <v>406</v>
      </c>
      <c r="B401">
        <v>55</v>
      </c>
      <c r="C401" s="1" t="s">
        <v>10</v>
      </c>
      <c r="D401" s="1" t="s">
        <v>11</v>
      </c>
      <c r="E401" s="1" t="s">
        <v>12</v>
      </c>
      <c r="F401">
        <v>15000</v>
      </c>
      <c r="G401">
        <v>32</v>
      </c>
      <c r="H401" s="1" t="s">
        <v>18</v>
      </c>
      <c r="I401" s="1" t="s">
        <v>14</v>
      </c>
      <c r="J401">
        <v>3</v>
      </c>
      <c r="K401" t="s">
        <v>49</v>
      </c>
      <c r="L401" t="s">
        <v>59</v>
      </c>
      <c r="M401" t="s">
        <v>52</v>
      </c>
    </row>
    <row r="402" spans="1:13" x14ac:dyDescent="0.35">
      <c r="A402">
        <v>407</v>
      </c>
      <c r="B402">
        <v>62</v>
      </c>
      <c r="C402" s="1" t="s">
        <v>15</v>
      </c>
      <c r="D402" s="1" t="s">
        <v>16</v>
      </c>
      <c r="E402" s="1" t="s">
        <v>17</v>
      </c>
      <c r="F402">
        <v>2000</v>
      </c>
      <c r="G402">
        <v>30</v>
      </c>
      <c r="H402" s="1" t="s">
        <v>13</v>
      </c>
      <c r="I402" s="1" t="s">
        <v>19</v>
      </c>
      <c r="J402">
        <v>4</v>
      </c>
      <c r="K402" t="s">
        <v>55</v>
      </c>
      <c r="L402" t="s">
        <v>58</v>
      </c>
      <c r="M402" t="s">
        <v>51</v>
      </c>
    </row>
    <row r="403" spans="1:13" x14ac:dyDescent="0.35">
      <c r="A403">
        <v>408</v>
      </c>
      <c r="B403">
        <v>35</v>
      </c>
      <c r="C403" s="1" t="s">
        <v>10</v>
      </c>
      <c r="D403" s="1" t="s">
        <v>20</v>
      </c>
      <c r="E403" s="1" t="s">
        <v>21</v>
      </c>
      <c r="F403">
        <v>500</v>
      </c>
      <c r="G403">
        <v>28</v>
      </c>
      <c r="H403" s="1" t="s">
        <v>18</v>
      </c>
      <c r="I403" s="1" t="s">
        <v>14</v>
      </c>
      <c r="J403">
        <v>5</v>
      </c>
      <c r="K403" t="s">
        <v>53</v>
      </c>
      <c r="L403" t="s">
        <v>58</v>
      </c>
      <c r="M403" t="s">
        <v>51</v>
      </c>
    </row>
    <row r="404" spans="1:13" x14ac:dyDescent="0.35">
      <c r="A404">
        <v>409</v>
      </c>
      <c r="B404">
        <v>78</v>
      </c>
      <c r="C404" s="1" t="s">
        <v>15</v>
      </c>
      <c r="D404" s="1" t="s">
        <v>22</v>
      </c>
      <c r="E404" s="1" t="s">
        <v>23</v>
      </c>
      <c r="F404">
        <v>10000</v>
      </c>
      <c r="G404">
        <v>35</v>
      </c>
      <c r="H404" s="1" t="s">
        <v>13</v>
      </c>
      <c r="I404" s="1" t="s">
        <v>19</v>
      </c>
      <c r="J404">
        <v>2</v>
      </c>
      <c r="K404" t="s">
        <v>55</v>
      </c>
      <c r="L404" t="s">
        <v>59</v>
      </c>
      <c r="M404" t="s">
        <v>57</v>
      </c>
    </row>
    <row r="405" spans="1:13" x14ac:dyDescent="0.35">
      <c r="A405">
        <v>410</v>
      </c>
      <c r="B405">
        <v>53</v>
      </c>
      <c r="C405" s="1" t="s">
        <v>10</v>
      </c>
      <c r="D405" s="1" t="s">
        <v>24</v>
      </c>
      <c r="E405" s="1" t="s">
        <v>25</v>
      </c>
      <c r="F405">
        <v>25000</v>
      </c>
      <c r="G405">
        <v>37</v>
      </c>
      <c r="H405" s="1" t="s">
        <v>18</v>
      </c>
      <c r="I405" s="1" t="s">
        <v>14</v>
      </c>
      <c r="J405">
        <v>4</v>
      </c>
      <c r="K405" t="s">
        <v>49</v>
      </c>
      <c r="L405" t="s">
        <v>59</v>
      </c>
      <c r="M405" t="s">
        <v>51</v>
      </c>
    </row>
    <row r="406" spans="1:13" x14ac:dyDescent="0.35">
      <c r="A406">
        <v>411</v>
      </c>
      <c r="B406">
        <v>72</v>
      </c>
      <c r="C406" s="1" t="s">
        <v>15</v>
      </c>
      <c r="D406" s="1" t="s">
        <v>26</v>
      </c>
      <c r="E406" s="1" t="s">
        <v>27</v>
      </c>
      <c r="F406">
        <v>1000</v>
      </c>
      <c r="G406">
        <v>29</v>
      </c>
      <c r="H406" s="1" t="s">
        <v>13</v>
      </c>
      <c r="I406" s="1" t="s">
        <v>19</v>
      </c>
      <c r="J406">
        <v>4</v>
      </c>
      <c r="K406" t="s">
        <v>55</v>
      </c>
      <c r="L406" t="s">
        <v>58</v>
      </c>
      <c r="M406" t="s">
        <v>51</v>
      </c>
    </row>
    <row r="407" spans="1:13" x14ac:dyDescent="0.35">
      <c r="A407">
        <v>412</v>
      </c>
      <c r="B407">
        <v>60</v>
      </c>
      <c r="C407" s="1" t="s">
        <v>10</v>
      </c>
      <c r="D407" s="1" t="s">
        <v>28</v>
      </c>
      <c r="E407" s="1" t="s">
        <v>29</v>
      </c>
      <c r="F407">
        <v>8000</v>
      </c>
      <c r="G407">
        <v>31</v>
      </c>
      <c r="H407" s="1" t="s">
        <v>18</v>
      </c>
      <c r="I407" s="1" t="s">
        <v>14</v>
      </c>
      <c r="J407">
        <v>3</v>
      </c>
      <c r="K407" t="s">
        <v>49</v>
      </c>
      <c r="L407" t="s">
        <v>59</v>
      </c>
      <c r="M407" t="s">
        <v>52</v>
      </c>
    </row>
    <row r="408" spans="1:13" x14ac:dyDescent="0.35">
      <c r="A408">
        <v>413</v>
      </c>
      <c r="B408">
        <v>45</v>
      </c>
      <c r="C408" s="1" t="s">
        <v>15</v>
      </c>
      <c r="D408" s="1" t="s">
        <v>30</v>
      </c>
      <c r="E408" s="1" t="s">
        <v>31</v>
      </c>
      <c r="F408">
        <v>3000</v>
      </c>
      <c r="G408">
        <v>33</v>
      </c>
      <c r="H408" s="1" t="s">
        <v>13</v>
      </c>
      <c r="I408" s="1" t="s">
        <v>14</v>
      </c>
      <c r="J408">
        <v>4</v>
      </c>
      <c r="K408" t="s">
        <v>49</v>
      </c>
      <c r="L408" t="s">
        <v>59</v>
      </c>
      <c r="M408" t="s">
        <v>51</v>
      </c>
    </row>
    <row r="409" spans="1:13" x14ac:dyDescent="0.35">
      <c r="A409">
        <v>414</v>
      </c>
      <c r="B409">
        <v>75</v>
      </c>
      <c r="C409" s="1" t="s">
        <v>10</v>
      </c>
      <c r="D409" s="1" t="s">
        <v>32</v>
      </c>
      <c r="E409" s="1" t="s">
        <v>33</v>
      </c>
      <c r="F409">
        <v>18000</v>
      </c>
      <c r="G409">
        <v>35</v>
      </c>
      <c r="H409" s="1" t="s">
        <v>18</v>
      </c>
      <c r="I409" s="1" t="s">
        <v>19</v>
      </c>
      <c r="J409">
        <v>2</v>
      </c>
      <c r="K409" t="s">
        <v>55</v>
      </c>
      <c r="L409" t="s">
        <v>59</v>
      </c>
      <c r="M409" t="s">
        <v>57</v>
      </c>
    </row>
    <row r="410" spans="1:13" x14ac:dyDescent="0.35">
      <c r="A410">
        <v>415</v>
      </c>
      <c r="B410">
        <v>28</v>
      </c>
      <c r="C410" s="1" t="s">
        <v>15</v>
      </c>
      <c r="D410" s="1" t="s">
        <v>34</v>
      </c>
      <c r="E410" s="1" t="s">
        <v>35</v>
      </c>
      <c r="F410">
        <v>100</v>
      </c>
      <c r="G410">
        <v>28</v>
      </c>
      <c r="H410" s="1" t="s">
        <v>13</v>
      </c>
      <c r="I410" s="1" t="s">
        <v>14</v>
      </c>
      <c r="J410">
        <v>5</v>
      </c>
      <c r="K410" t="s">
        <v>53</v>
      </c>
      <c r="L410" t="s">
        <v>58</v>
      </c>
      <c r="M410" t="s">
        <v>51</v>
      </c>
    </row>
    <row r="411" spans="1:13" x14ac:dyDescent="0.35">
      <c r="A411">
        <v>416</v>
      </c>
      <c r="B411">
        <v>52</v>
      </c>
      <c r="C411" s="1" t="s">
        <v>10</v>
      </c>
      <c r="D411" s="1" t="s">
        <v>36</v>
      </c>
      <c r="E411" s="1" t="s">
        <v>37</v>
      </c>
      <c r="F411">
        <v>800</v>
      </c>
      <c r="G411">
        <v>29</v>
      </c>
      <c r="H411" s="1" t="s">
        <v>13</v>
      </c>
      <c r="I411" s="1" t="s">
        <v>19</v>
      </c>
      <c r="J411">
        <v>4</v>
      </c>
      <c r="K411" t="s">
        <v>49</v>
      </c>
      <c r="L411" t="s">
        <v>58</v>
      </c>
      <c r="M411" t="s">
        <v>51</v>
      </c>
    </row>
    <row r="412" spans="1:13" x14ac:dyDescent="0.35">
      <c r="A412">
        <v>418</v>
      </c>
      <c r="B412">
        <v>35</v>
      </c>
      <c r="C412" s="1" t="s">
        <v>10</v>
      </c>
      <c r="D412" s="1" t="s">
        <v>40</v>
      </c>
      <c r="E412" s="1" t="s">
        <v>41</v>
      </c>
      <c r="F412">
        <v>12000</v>
      </c>
      <c r="G412">
        <v>30</v>
      </c>
      <c r="H412" s="1" t="s">
        <v>13</v>
      </c>
      <c r="I412" s="1" t="s">
        <v>14</v>
      </c>
      <c r="J412">
        <v>4</v>
      </c>
      <c r="K412" t="s">
        <v>53</v>
      </c>
      <c r="L412" t="s">
        <v>58</v>
      </c>
      <c r="M412" t="s">
        <v>51</v>
      </c>
    </row>
    <row r="413" spans="1:13" x14ac:dyDescent="0.35">
      <c r="A413">
        <v>419</v>
      </c>
      <c r="B413">
        <v>50</v>
      </c>
      <c r="C413" s="1" t="s">
        <v>15</v>
      </c>
      <c r="D413" s="1" t="s">
        <v>42</v>
      </c>
      <c r="E413" s="1" t="s">
        <v>43</v>
      </c>
      <c r="F413">
        <v>6000</v>
      </c>
      <c r="G413">
        <v>31</v>
      </c>
      <c r="H413" s="1" t="s">
        <v>13</v>
      </c>
      <c r="I413" s="1" t="s">
        <v>14</v>
      </c>
      <c r="J413">
        <v>3</v>
      </c>
      <c r="K413" t="s">
        <v>49</v>
      </c>
      <c r="L413" t="s">
        <v>59</v>
      </c>
      <c r="M413" t="s">
        <v>52</v>
      </c>
    </row>
    <row r="414" spans="1:13" x14ac:dyDescent="0.35">
      <c r="A414">
        <v>420</v>
      </c>
      <c r="B414">
        <v>60</v>
      </c>
      <c r="C414" s="1" t="s">
        <v>10</v>
      </c>
      <c r="D414" s="1" t="s">
        <v>44</v>
      </c>
      <c r="E414" s="1" t="s">
        <v>45</v>
      </c>
      <c r="F414">
        <v>4000</v>
      </c>
      <c r="G414">
        <v>32</v>
      </c>
      <c r="H414" s="1" t="s">
        <v>13</v>
      </c>
      <c r="I414" s="1" t="s">
        <v>19</v>
      </c>
      <c r="J414">
        <v>4</v>
      </c>
      <c r="K414" t="s">
        <v>49</v>
      </c>
      <c r="L414" t="s">
        <v>59</v>
      </c>
      <c r="M414" t="s">
        <v>51</v>
      </c>
    </row>
    <row r="415" spans="1:13" x14ac:dyDescent="0.35">
      <c r="A415">
        <v>421</v>
      </c>
      <c r="B415">
        <v>48</v>
      </c>
      <c r="C415" s="1" t="s">
        <v>10</v>
      </c>
      <c r="D415" s="1" t="s">
        <v>11</v>
      </c>
      <c r="E415" s="1" t="s">
        <v>12</v>
      </c>
      <c r="F415">
        <v>15000</v>
      </c>
      <c r="G415">
        <v>33</v>
      </c>
      <c r="H415" s="1" t="s">
        <v>18</v>
      </c>
      <c r="I415" s="1" t="s">
        <v>14</v>
      </c>
      <c r="J415">
        <v>4</v>
      </c>
      <c r="K415" t="s">
        <v>49</v>
      </c>
      <c r="L415" t="s">
        <v>59</v>
      </c>
      <c r="M415" t="s">
        <v>51</v>
      </c>
    </row>
    <row r="416" spans="1:13" x14ac:dyDescent="0.35">
      <c r="A416">
        <v>422</v>
      </c>
      <c r="B416">
        <v>65</v>
      </c>
      <c r="C416" s="1" t="s">
        <v>15</v>
      </c>
      <c r="D416" s="1" t="s">
        <v>16</v>
      </c>
      <c r="E416" s="1" t="s">
        <v>17</v>
      </c>
      <c r="F416">
        <v>2000</v>
      </c>
      <c r="G416">
        <v>31</v>
      </c>
      <c r="H416" s="1" t="s">
        <v>13</v>
      </c>
      <c r="I416" s="1" t="s">
        <v>19</v>
      </c>
      <c r="J416">
        <v>3</v>
      </c>
      <c r="K416" t="s">
        <v>55</v>
      </c>
      <c r="L416" t="s">
        <v>59</v>
      </c>
      <c r="M416" t="s">
        <v>52</v>
      </c>
    </row>
    <row r="417" spans="1:13" x14ac:dyDescent="0.35">
      <c r="A417">
        <v>423</v>
      </c>
      <c r="B417">
        <v>30</v>
      </c>
      <c r="C417" s="1" t="s">
        <v>10</v>
      </c>
      <c r="D417" s="1" t="s">
        <v>20</v>
      </c>
      <c r="E417" s="1" t="s">
        <v>21</v>
      </c>
      <c r="F417">
        <v>500</v>
      </c>
      <c r="G417">
        <v>29</v>
      </c>
      <c r="H417" s="1" t="s">
        <v>13</v>
      </c>
      <c r="I417" s="1" t="s">
        <v>14</v>
      </c>
      <c r="J417">
        <v>5</v>
      </c>
      <c r="K417" t="s">
        <v>53</v>
      </c>
      <c r="L417" t="s">
        <v>58</v>
      </c>
      <c r="M417" t="s">
        <v>51</v>
      </c>
    </row>
    <row r="418" spans="1:13" x14ac:dyDescent="0.35">
      <c r="A418">
        <v>424</v>
      </c>
      <c r="B418">
        <v>70</v>
      </c>
      <c r="C418" s="1" t="s">
        <v>15</v>
      </c>
      <c r="D418" s="1" t="s">
        <v>22</v>
      </c>
      <c r="E418" s="1" t="s">
        <v>23</v>
      </c>
      <c r="F418">
        <v>10000</v>
      </c>
      <c r="G418">
        <v>36</v>
      </c>
      <c r="H418" s="1" t="s">
        <v>18</v>
      </c>
      <c r="I418" s="1" t="s">
        <v>19</v>
      </c>
      <c r="J418">
        <v>2</v>
      </c>
      <c r="K418" t="s">
        <v>55</v>
      </c>
      <c r="L418" t="s">
        <v>59</v>
      </c>
      <c r="M418" t="s">
        <v>57</v>
      </c>
    </row>
    <row r="419" spans="1:13" x14ac:dyDescent="0.35">
      <c r="A419">
        <v>425</v>
      </c>
      <c r="B419">
        <v>55</v>
      </c>
      <c r="C419" s="1" t="s">
        <v>10</v>
      </c>
      <c r="D419" s="1" t="s">
        <v>24</v>
      </c>
      <c r="E419" s="1" t="s">
        <v>25</v>
      </c>
      <c r="F419">
        <v>25000</v>
      </c>
      <c r="G419">
        <v>38</v>
      </c>
      <c r="H419" s="1" t="s">
        <v>13</v>
      </c>
      <c r="I419" s="1" t="s">
        <v>14</v>
      </c>
      <c r="J419">
        <v>4</v>
      </c>
      <c r="K419" t="s">
        <v>49</v>
      </c>
      <c r="L419" t="s">
        <v>59</v>
      </c>
      <c r="M419" t="s">
        <v>51</v>
      </c>
    </row>
    <row r="420" spans="1:13" x14ac:dyDescent="0.35">
      <c r="A420">
        <v>426</v>
      </c>
      <c r="B420">
        <v>68</v>
      </c>
      <c r="C420" s="1" t="s">
        <v>15</v>
      </c>
      <c r="D420" s="1" t="s">
        <v>26</v>
      </c>
      <c r="E420" s="1" t="s">
        <v>27</v>
      </c>
      <c r="F420">
        <v>1000</v>
      </c>
      <c r="G420">
        <v>30</v>
      </c>
      <c r="H420" s="1" t="s">
        <v>13</v>
      </c>
      <c r="I420" s="1" t="s">
        <v>19</v>
      </c>
      <c r="J420">
        <v>4</v>
      </c>
      <c r="K420" t="s">
        <v>55</v>
      </c>
      <c r="L420" t="s">
        <v>58</v>
      </c>
      <c r="M420" t="s">
        <v>51</v>
      </c>
    </row>
    <row r="421" spans="1:13" x14ac:dyDescent="0.35">
      <c r="A421">
        <v>427</v>
      </c>
      <c r="B421">
        <v>45</v>
      </c>
      <c r="C421" s="1" t="s">
        <v>10</v>
      </c>
      <c r="D421" s="1" t="s">
        <v>28</v>
      </c>
      <c r="E421" s="1" t="s">
        <v>29</v>
      </c>
      <c r="F421">
        <v>8000</v>
      </c>
      <c r="G421">
        <v>32</v>
      </c>
      <c r="H421" s="1" t="s">
        <v>13</v>
      </c>
      <c r="I421" s="1" t="s">
        <v>14</v>
      </c>
      <c r="J421">
        <v>3</v>
      </c>
      <c r="K421" t="s">
        <v>49</v>
      </c>
      <c r="L421" t="s">
        <v>59</v>
      </c>
      <c r="M421" t="s">
        <v>52</v>
      </c>
    </row>
    <row r="422" spans="1:13" x14ac:dyDescent="0.35">
      <c r="A422">
        <v>428</v>
      </c>
      <c r="B422">
        <v>40</v>
      </c>
      <c r="C422" s="1" t="s">
        <v>15</v>
      </c>
      <c r="D422" s="1" t="s">
        <v>30</v>
      </c>
      <c r="E422" s="1" t="s">
        <v>31</v>
      </c>
      <c r="F422">
        <v>3000</v>
      </c>
      <c r="G422">
        <v>34</v>
      </c>
      <c r="H422" s="1" t="s">
        <v>13</v>
      </c>
      <c r="I422" s="1" t="s">
        <v>14</v>
      </c>
      <c r="J422">
        <v>4</v>
      </c>
      <c r="K422" t="s">
        <v>49</v>
      </c>
      <c r="L422" t="s">
        <v>59</v>
      </c>
      <c r="M422" t="s">
        <v>51</v>
      </c>
    </row>
    <row r="423" spans="1:13" x14ac:dyDescent="0.35">
      <c r="A423">
        <v>429</v>
      </c>
      <c r="B423">
        <v>78</v>
      </c>
      <c r="C423" s="1" t="s">
        <v>10</v>
      </c>
      <c r="D423" s="1" t="s">
        <v>32</v>
      </c>
      <c r="E423" s="1" t="s">
        <v>33</v>
      </c>
      <c r="F423">
        <v>18000</v>
      </c>
      <c r="G423">
        <v>36</v>
      </c>
      <c r="H423" s="1" t="s">
        <v>18</v>
      </c>
      <c r="I423" s="1" t="s">
        <v>19</v>
      </c>
      <c r="J423">
        <v>2</v>
      </c>
      <c r="K423" t="s">
        <v>55</v>
      </c>
      <c r="L423" t="s">
        <v>59</v>
      </c>
      <c r="M423" t="s">
        <v>57</v>
      </c>
    </row>
    <row r="424" spans="1:13" x14ac:dyDescent="0.35">
      <c r="A424">
        <v>430</v>
      </c>
      <c r="B424">
        <v>25</v>
      </c>
      <c r="C424" s="1" t="s">
        <v>15</v>
      </c>
      <c r="D424" s="1" t="s">
        <v>34</v>
      </c>
      <c r="E424" s="1" t="s">
        <v>35</v>
      </c>
      <c r="F424">
        <v>100</v>
      </c>
      <c r="G424">
        <v>29</v>
      </c>
      <c r="H424" s="1" t="s">
        <v>13</v>
      </c>
      <c r="I424" s="1" t="s">
        <v>14</v>
      </c>
      <c r="J424">
        <v>5</v>
      </c>
      <c r="K424" t="s">
        <v>53</v>
      </c>
      <c r="L424" t="s">
        <v>58</v>
      </c>
      <c r="M424" t="s">
        <v>51</v>
      </c>
    </row>
    <row r="425" spans="1:13" x14ac:dyDescent="0.35">
      <c r="A425">
        <v>431</v>
      </c>
      <c r="B425">
        <v>52</v>
      </c>
      <c r="C425" s="1" t="s">
        <v>10</v>
      </c>
      <c r="D425" s="1" t="s">
        <v>36</v>
      </c>
      <c r="E425" s="1" t="s">
        <v>37</v>
      </c>
      <c r="F425">
        <v>800</v>
      </c>
      <c r="G425">
        <v>30</v>
      </c>
      <c r="H425" s="1" t="s">
        <v>13</v>
      </c>
      <c r="I425" s="1" t="s">
        <v>19</v>
      </c>
      <c r="J425">
        <v>4</v>
      </c>
      <c r="K425" t="s">
        <v>49</v>
      </c>
      <c r="L425" t="s">
        <v>58</v>
      </c>
      <c r="M425" t="s">
        <v>51</v>
      </c>
    </row>
    <row r="426" spans="1:13" x14ac:dyDescent="0.35">
      <c r="A426">
        <v>432</v>
      </c>
      <c r="B426">
        <v>58</v>
      </c>
      <c r="C426" s="1" t="s">
        <v>15</v>
      </c>
      <c r="D426" s="1" t="s">
        <v>38</v>
      </c>
      <c r="E426" s="1" t="s">
        <v>39</v>
      </c>
      <c r="F426">
        <v>20000</v>
      </c>
      <c r="G426">
        <v>37</v>
      </c>
      <c r="H426" s="1" t="s">
        <v>13</v>
      </c>
      <c r="I426" s="1" t="s">
        <v>14</v>
      </c>
      <c r="J426">
        <v>3</v>
      </c>
      <c r="K426" t="s">
        <v>49</v>
      </c>
      <c r="L426" t="s">
        <v>59</v>
      </c>
      <c r="M426" t="s">
        <v>52</v>
      </c>
    </row>
    <row r="427" spans="1:13" x14ac:dyDescent="0.35">
      <c r="A427">
        <v>433</v>
      </c>
      <c r="B427">
        <v>32</v>
      </c>
      <c r="C427" s="1" t="s">
        <v>10</v>
      </c>
      <c r="D427" s="1" t="s">
        <v>40</v>
      </c>
      <c r="E427" s="1" t="s">
        <v>41</v>
      </c>
      <c r="F427">
        <v>12000</v>
      </c>
      <c r="G427">
        <v>31</v>
      </c>
      <c r="H427" s="1" t="s">
        <v>13</v>
      </c>
      <c r="I427" s="1" t="s">
        <v>14</v>
      </c>
      <c r="J427">
        <v>4</v>
      </c>
      <c r="K427" t="s">
        <v>53</v>
      </c>
      <c r="L427" t="s">
        <v>59</v>
      </c>
      <c r="M427" t="s">
        <v>51</v>
      </c>
    </row>
    <row r="428" spans="1:13" x14ac:dyDescent="0.35">
      <c r="A428">
        <v>434</v>
      </c>
      <c r="B428">
        <v>55</v>
      </c>
      <c r="C428" s="1" t="s">
        <v>15</v>
      </c>
      <c r="D428" s="1" t="s">
        <v>42</v>
      </c>
      <c r="E428" s="1" t="s">
        <v>43</v>
      </c>
      <c r="F428">
        <v>6000</v>
      </c>
      <c r="G428">
        <v>32</v>
      </c>
      <c r="H428" s="1" t="s">
        <v>13</v>
      </c>
      <c r="I428" s="1" t="s">
        <v>14</v>
      </c>
      <c r="J428">
        <v>3</v>
      </c>
      <c r="K428" t="s">
        <v>49</v>
      </c>
      <c r="L428" t="s">
        <v>59</v>
      </c>
      <c r="M428" t="s">
        <v>52</v>
      </c>
    </row>
    <row r="429" spans="1:13" x14ac:dyDescent="0.35">
      <c r="A429">
        <v>435</v>
      </c>
      <c r="B429">
        <v>65</v>
      </c>
      <c r="C429" s="1" t="s">
        <v>10</v>
      </c>
      <c r="D429" s="1" t="s">
        <v>44</v>
      </c>
      <c r="E429" s="1" t="s">
        <v>45</v>
      </c>
      <c r="F429">
        <v>4000</v>
      </c>
      <c r="G429">
        <v>33</v>
      </c>
      <c r="H429" s="1" t="s">
        <v>13</v>
      </c>
      <c r="I429" s="1" t="s">
        <v>19</v>
      </c>
      <c r="J429">
        <v>4</v>
      </c>
      <c r="K429" t="s">
        <v>55</v>
      </c>
      <c r="L429" t="s">
        <v>59</v>
      </c>
      <c r="M429" t="s">
        <v>51</v>
      </c>
    </row>
    <row r="430" spans="1:13" x14ac:dyDescent="0.35">
      <c r="A430">
        <v>436</v>
      </c>
      <c r="B430">
        <v>55</v>
      </c>
      <c r="C430" s="1" t="s">
        <v>10</v>
      </c>
      <c r="D430" s="1" t="s">
        <v>11</v>
      </c>
      <c r="E430" s="1" t="s">
        <v>12</v>
      </c>
      <c r="F430">
        <v>15000</v>
      </c>
      <c r="G430">
        <v>34</v>
      </c>
      <c r="H430" s="1" t="s">
        <v>18</v>
      </c>
      <c r="I430" s="1" t="s">
        <v>14</v>
      </c>
      <c r="J430">
        <v>3</v>
      </c>
      <c r="K430" t="s">
        <v>49</v>
      </c>
      <c r="L430" t="s">
        <v>59</v>
      </c>
      <c r="M430" t="s">
        <v>52</v>
      </c>
    </row>
    <row r="431" spans="1:13" x14ac:dyDescent="0.35">
      <c r="A431">
        <v>437</v>
      </c>
      <c r="B431">
        <v>62</v>
      </c>
      <c r="C431" s="1" t="s">
        <v>15</v>
      </c>
      <c r="D431" s="1" t="s">
        <v>16</v>
      </c>
      <c r="E431" s="1" t="s">
        <v>17</v>
      </c>
      <c r="F431">
        <v>2000</v>
      </c>
      <c r="G431">
        <v>32</v>
      </c>
      <c r="H431" s="1" t="s">
        <v>13</v>
      </c>
      <c r="I431" s="1" t="s">
        <v>19</v>
      </c>
      <c r="J431">
        <v>4</v>
      </c>
      <c r="K431" t="s">
        <v>55</v>
      </c>
      <c r="L431" t="s">
        <v>59</v>
      </c>
      <c r="M431" t="s">
        <v>51</v>
      </c>
    </row>
    <row r="432" spans="1:13" x14ac:dyDescent="0.35">
      <c r="A432">
        <v>438</v>
      </c>
      <c r="B432">
        <v>35</v>
      </c>
      <c r="C432" s="1" t="s">
        <v>10</v>
      </c>
      <c r="D432" s="1" t="s">
        <v>20</v>
      </c>
      <c r="E432" s="1" t="s">
        <v>21</v>
      </c>
      <c r="F432">
        <v>500</v>
      </c>
      <c r="G432">
        <v>30</v>
      </c>
      <c r="H432" s="1" t="s">
        <v>18</v>
      </c>
      <c r="I432" s="1" t="s">
        <v>14</v>
      </c>
      <c r="J432">
        <v>5</v>
      </c>
      <c r="K432" t="s">
        <v>53</v>
      </c>
      <c r="L432" t="s">
        <v>58</v>
      </c>
      <c r="M432" t="s">
        <v>51</v>
      </c>
    </row>
    <row r="433" spans="1:13" x14ac:dyDescent="0.35">
      <c r="A433">
        <v>439</v>
      </c>
      <c r="B433">
        <v>78</v>
      </c>
      <c r="C433" s="1" t="s">
        <v>15</v>
      </c>
      <c r="D433" s="1" t="s">
        <v>22</v>
      </c>
      <c r="E433" s="1" t="s">
        <v>23</v>
      </c>
      <c r="F433">
        <v>10000</v>
      </c>
      <c r="G433">
        <v>37</v>
      </c>
      <c r="H433" s="1" t="s">
        <v>13</v>
      </c>
      <c r="I433" s="1" t="s">
        <v>19</v>
      </c>
      <c r="J433">
        <v>2</v>
      </c>
      <c r="K433" t="s">
        <v>55</v>
      </c>
      <c r="L433" t="s">
        <v>59</v>
      </c>
      <c r="M433" t="s">
        <v>57</v>
      </c>
    </row>
    <row r="434" spans="1:13" x14ac:dyDescent="0.35">
      <c r="A434">
        <v>440</v>
      </c>
      <c r="B434">
        <v>53</v>
      </c>
      <c r="C434" s="1" t="s">
        <v>10</v>
      </c>
      <c r="D434" s="1" t="s">
        <v>24</v>
      </c>
      <c r="E434" s="1" t="s">
        <v>25</v>
      </c>
      <c r="F434">
        <v>25000</v>
      </c>
      <c r="G434">
        <v>39</v>
      </c>
      <c r="H434" s="1" t="s">
        <v>18</v>
      </c>
      <c r="I434" s="1" t="s">
        <v>14</v>
      </c>
      <c r="J434">
        <v>4</v>
      </c>
      <c r="K434" t="s">
        <v>49</v>
      </c>
      <c r="L434" t="s">
        <v>59</v>
      </c>
      <c r="M434" t="s">
        <v>51</v>
      </c>
    </row>
    <row r="435" spans="1:13" x14ac:dyDescent="0.35">
      <c r="A435">
        <v>441</v>
      </c>
      <c r="B435">
        <v>72</v>
      </c>
      <c r="C435" s="1" t="s">
        <v>15</v>
      </c>
      <c r="D435" s="1" t="s">
        <v>26</v>
      </c>
      <c r="E435" s="1" t="s">
        <v>27</v>
      </c>
      <c r="F435">
        <v>1000</v>
      </c>
      <c r="G435">
        <v>31</v>
      </c>
      <c r="H435" s="1" t="s">
        <v>13</v>
      </c>
      <c r="I435" s="1" t="s">
        <v>19</v>
      </c>
      <c r="J435">
        <v>4</v>
      </c>
      <c r="K435" t="s">
        <v>55</v>
      </c>
      <c r="L435" t="s">
        <v>59</v>
      </c>
      <c r="M435" t="s">
        <v>51</v>
      </c>
    </row>
    <row r="436" spans="1:13" x14ac:dyDescent="0.35">
      <c r="A436">
        <v>442</v>
      </c>
      <c r="B436">
        <v>60</v>
      </c>
      <c r="C436" s="1" t="s">
        <v>10</v>
      </c>
      <c r="D436" s="1" t="s">
        <v>28</v>
      </c>
      <c r="E436" s="1" t="s">
        <v>29</v>
      </c>
      <c r="F436">
        <v>8000</v>
      </c>
      <c r="G436">
        <v>33</v>
      </c>
      <c r="H436" s="1" t="s">
        <v>18</v>
      </c>
      <c r="I436" s="1" t="s">
        <v>14</v>
      </c>
      <c r="J436">
        <v>3</v>
      </c>
      <c r="K436" t="s">
        <v>49</v>
      </c>
      <c r="L436" t="s">
        <v>59</v>
      </c>
      <c r="M436" t="s">
        <v>52</v>
      </c>
    </row>
    <row r="437" spans="1:13" x14ac:dyDescent="0.35">
      <c r="A437">
        <v>443</v>
      </c>
      <c r="B437">
        <v>45</v>
      </c>
      <c r="C437" s="1" t="s">
        <v>15</v>
      </c>
      <c r="D437" s="1" t="s">
        <v>30</v>
      </c>
      <c r="E437" s="1" t="s">
        <v>31</v>
      </c>
      <c r="F437">
        <v>3000</v>
      </c>
      <c r="G437">
        <v>35</v>
      </c>
      <c r="H437" s="1" t="s">
        <v>13</v>
      </c>
      <c r="I437" s="1" t="s">
        <v>14</v>
      </c>
      <c r="J437">
        <v>4</v>
      </c>
      <c r="K437" t="s">
        <v>49</v>
      </c>
      <c r="L437" t="s">
        <v>59</v>
      </c>
      <c r="M437" t="s">
        <v>51</v>
      </c>
    </row>
    <row r="438" spans="1:13" x14ac:dyDescent="0.35">
      <c r="A438">
        <v>444</v>
      </c>
      <c r="B438">
        <v>75</v>
      </c>
      <c r="C438" s="1" t="s">
        <v>10</v>
      </c>
      <c r="D438" s="1" t="s">
        <v>32</v>
      </c>
      <c r="E438" s="1" t="s">
        <v>33</v>
      </c>
      <c r="F438">
        <v>18000</v>
      </c>
      <c r="G438">
        <v>37</v>
      </c>
      <c r="H438" s="1" t="s">
        <v>18</v>
      </c>
      <c r="I438" s="1" t="s">
        <v>19</v>
      </c>
      <c r="J438">
        <v>2</v>
      </c>
      <c r="K438" t="s">
        <v>55</v>
      </c>
      <c r="L438" t="s">
        <v>59</v>
      </c>
      <c r="M438" t="s">
        <v>57</v>
      </c>
    </row>
    <row r="439" spans="1:13" x14ac:dyDescent="0.35">
      <c r="A439">
        <v>445</v>
      </c>
      <c r="B439">
        <v>28</v>
      </c>
      <c r="C439" s="1" t="s">
        <v>15</v>
      </c>
      <c r="D439" s="1" t="s">
        <v>34</v>
      </c>
      <c r="E439" s="1" t="s">
        <v>35</v>
      </c>
      <c r="F439">
        <v>100</v>
      </c>
      <c r="G439">
        <v>30</v>
      </c>
      <c r="H439" s="1" t="s">
        <v>13</v>
      </c>
      <c r="I439" s="1" t="s">
        <v>14</v>
      </c>
      <c r="J439">
        <v>5</v>
      </c>
      <c r="K439" t="s">
        <v>53</v>
      </c>
      <c r="L439" t="s">
        <v>58</v>
      </c>
      <c r="M439" t="s">
        <v>51</v>
      </c>
    </row>
    <row r="440" spans="1:13" x14ac:dyDescent="0.35">
      <c r="A440">
        <v>446</v>
      </c>
      <c r="B440">
        <v>52</v>
      </c>
      <c r="C440" s="1" t="s">
        <v>10</v>
      </c>
      <c r="D440" s="1" t="s">
        <v>36</v>
      </c>
      <c r="E440" s="1" t="s">
        <v>37</v>
      </c>
      <c r="F440">
        <v>800</v>
      </c>
      <c r="G440">
        <v>31</v>
      </c>
      <c r="H440" s="1" t="s">
        <v>13</v>
      </c>
      <c r="I440" s="1" t="s">
        <v>19</v>
      </c>
      <c r="J440">
        <v>4</v>
      </c>
      <c r="K440" t="s">
        <v>49</v>
      </c>
      <c r="L440" t="s">
        <v>59</v>
      </c>
      <c r="M440" t="s">
        <v>51</v>
      </c>
    </row>
    <row r="441" spans="1:13" x14ac:dyDescent="0.35">
      <c r="A441">
        <v>447</v>
      </c>
      <c r="B441">
        <v>67</v>
      </c>
      <c r="C441" s="1" t="s">
        <v>15</v>
      </c>
      <c r="D441" s="1" t="s">
        <v>38</v>
      </c>
      <c r="E441" s="1" t="s">
        <v>39</v>
      </c>
      <c r="F441">
        <v>20000</v>
      </c>
      <c r="G441">
        <v>38</v>
      </c>
      <c r="H441" s="1" t="s">
        <v>13</v>
      </c>
      <c r="I441" s="1" t="s">
        <v>14</v>
      </c>
      <c r="J441">
        <v>3</v>
      </c>
      <c r="K441" t="s">
        <v>55</v>
      </c>
      <c r="L441" t="s">
        <v>59</v>
      </c>
      <c r="M441" t="s">
        <v>52</v>
      </c>
    </row>
    <row r="442" spans="1:13" x14ac:dyDescent="0.35">
      <c r="A442">
        <v>448</v>
      </c>
      <c r="B442">
        <v>35</v>
      </c>
      <c r="C442" s="1" t="s">
        <v>10</v>
      </c>
      <c r="D442" s="1" t="s">
        <v>40</v>
      </c>
      <c r="E442" s="1" t="s">
        <v>41</v>
      </c>
      <c r="F442">
        <v>12000</v>
      </c>
      <c r="G442">
        <v>32</v>
      </c>
      <c r="H442" s="1" t="s">
        <v>13</v>
      </c>
      <c r="I442" s="1" t="s">
        <v>14</v>
      </c>
      <c r="J442">
        <v>4</v>
      </c>
      <c r="K442" t="s">
        <v>53</v>
      </c>
      <c r="L442" t="s">
        <v>59</v>
      </c>
      <c r="M442" t="s">
        <v>51</v>
      </c>
    </row>
    <row r="443" spans="1:13" x14ac:dyDescent="0.35">
      <c r="A443">
        <v>449</v>
      </c>
      <c r="B443">
        <v>50</v>
      </c>
      <c r="C443" s="1" t="s">
        <v>15</v>
      </c>
      <c r="D443" s="1" t="s">
        <v>42</v>
      </c>
      <c r="E443" s="1" t="s">
        <v>43</v>
      </c>
      <c r="F443">
        <v>6000</v>
      </c>
      <c r="G443">
        <v>33</v>
      </c>
      <c r="H443" s="1" t="s">
        <v>13</v>
      </c>
      <c r="I443" s="1" t="s">
        <v>14</v>
      </c>
      <c r="J443">
        <v>3</v>
      </c>
      <c r="K443" t="s">
        <v>49</v>
      </c>
      <c r="L443" t="s">
        <v>59</v>
      </c>
      <c r="M443" t="s">
        <v>52</v>
      </c>
    </row>
    <row r="444" spans="1:13" x14ac:dyDescent="0.35">
      <c r="A444">
        <v>450</v>
      </c>
      <c r="B444">
        <v>60</v>
      </c>
      <c r="C444" s="1" t="s">
        <v>10</v>
      </c>
      <c r="D444" s="1" t="s">
        <v>44</v>
      </c>
      <c r="E444" s="1" t="s">
        <v>45</v>
      </c>
      <c r="F444">
        <v>4000</v>
      </c>
      <c r="G444">
        <v>34</v>
      </c>
      <c r="H444" s="1" t="s">
        <v>13</v>
      </c>
      <c r="I444" s="1" t="s">
        <v>19</v>
      </c>
      <c r="J444">
        <v>4</v>
      </c>
      <c r="K444" t="s">
        <v>49</v>
      </c>
      <c r="L444" t="s">
        <v>59</v>
      </c>
      <c r="M444" t="s">
        <v>51</v>
      </c>
    </row>
    <row r="445" spans="1:13" x14ac:dyDescent="0.35">
      <c r="A445">
        <v>451</v>
      </c>
      <c r="B445">
        <v>48</v>
      </c>
      <c r="C445" s="1" t="s">
        <v>10</v>
      </c>
      <c r="D445" s="1" t="s">
        <v>11</v>
      </c>
      <c r="E445" s="1" t="s">
        <v>12</v>
      </c>
      <c r="F445">
        <v>15000</v>
      </c>
      <c r="G445">
        <v>35</v>
      </c>
      <c r="H445" s="1" t="s">
        <v>18</v>
      </c>
      <c r="I445" s="1" t="s">
        <v>14</v>
      </c>
      <c r="J445">
        <v>4</v>
      </c>
      <c r="K445" t="s">
        <v>49</v>
      </c>
      <c r="L445" t="s">
        <v>59</v>
      </c>
      <c r="M445" t="s">
        <v>51</v>
      </c>
    </row>
    <row r="446" spans="1:13" x14ac:dyDescent="0.35">
      <c r="A446">
        <v>452</v>
      </c>
      <c r="B446">
        <v>65</v>
      </c>
      <c r="C446" s="1" t="s">
        <v>15</v>
      </c>
      <c r="D446" s="1" t="s">
        <v>16</v>
      </c>
      <c r="E446" s="1" t="s">
        <v>17</v>
      </c>
      <c r="F446">
        <v>2000</v>
      </c>
      <c r="G446">
        <v>33</v>
      </c>
      <c r="H446" s="1" t="s">
        <v>13</v>
      </c>
      <c r="I446" s="1" t="s">
        <v>19</v>
      </c>
      <c r="J446">
        <v>3</v>
      </c>
      <c r="K446" t="s">
        <v>55</v>
      </c>
      <c r="L446" t="s">
        <v>59</v>
      </c>
      <c r="M446" t="s">
        <v>52</v>
      </c>
    </row>
    <row r="447" spans="1:13" x14ac:dyDescent="0.35">
      <c r="A447">
        <v>453</v>
      </c>
      <c r="B447">
        <v>30</v>
      </c>
      <c r="C447" s="1" t="s">
        <v>10</v>
      </c>
      <c r="D447" s="1" t="s">
        <v>20</v>
      </c>
      <c r="E447" s="1" t="s">
        <v>21</v>
      </c>
      <c r="F447">
        <v>500</v>
      </c>
      <c r="G447">
        <v>31</v>
      </c>
      <c r="H447" s="1" t="s">
        <v>13</v>
      </c>
      <c r="I447" s="1" t="s">
        <v>14</v>
      </c>
      <c r="J447">
        <v>5</v>
      </c>
      <c r="K447" t="s">
        <v>53</v>
      </c>
      <c r="L447" t="s">
        <v>59</v>
      </c>
      <c r="M447" t="s">
        <v>51</v>
      </c>
    </row>
    <row r="448" spans="1:13" x14ac:dyDescent="0.35">
      <c r="A448">
        <v>454</v>
      </c>
      <c r="B448">
        <v>70</v>
      </c>
      <c r="C448" s="1" t="s">
        <v>15</v>
      </c>
      <c r="D448" s="1" t="s">
        <v>22</v>
      </c>
      <c r="E448" s="1" t="s">
        <v>23</v>
      </c>
      <c r="F448">
        <v>10000</v>
      </c>
      <c r="G448">
        <v>38</v>
      </c>
      <c r="H448" s="1" t="s">
        <v>18</v>
      </c>
      <c r="I448" s="1" t="s">
        <v>19</v>
      </c>
      <c r="J448">
        <v>2</v>
      </c>
      <c r="K448" t="s">
        <v>55</v>
      </c>
      <c r="L448" t="s">
        <v>59</v>
      </c>
      <c r="M448" t="s">
        <v>57</v>
      </c>
    </row>
    <row r="449" spans="1:13" x14ac:dyDescent="0.35">
      <c r="A449">
        <v>455</v>
      </c>
      <c r="B449">
        <v>55</v>
      </c>
      <c r="C449" s="1" t="s">
        <v>10</v>
      </c>
      <c r="D449" s="1" t="s">
        <v>24</v>
      </c>
      <c r="E449" s="1" t="s">
        <v>25</v>
      </c>
      <c r="F449">
        <v>25000</v>
      </c>
      <c r="G449">
        <v>40</v>
      </c>
      <c r="H449" s="1" t="s">
        <v>13</v>
      </c>
      <c r="I449" s="1" t="s">
        <v>14</v>
      </c>
      <c r="J449">
        <v>4</v>
      </c>
      <c r="K449" t="s">
        <v>49</v>
      </c>
      <c r="L449" t="s">
        <v>59</v>
      </c>
      <c r="M449" t="s">
        <v>51</v>
      </c>
    </row>
    <row r="450" spans="1:13" x14ac:dyDescent="0.35">
      <c r="A450">
        <v>456</v>
      </c>
      <c r="B450">
        <v>68</v>
      </c>
      <c r="C450" s="1" t="s">
        <v>15</v>
      </c>
      <c r="D450" s="1" t="s">
        <v>26</v>
      </c>
      <c r="E450" s="1" t="s">
        <v>27</v>
      </c>
      <c r="F450">
        <v>1000</v>
      </c>
      <c r="G450">
        <v>32</v>
      </c>
      <c r="H450" s="1" t="s">
        <v>13</v>
      </c>
      <c r="I450" s="1" t="s">
        <v>19</v>
      </c>
      <c r="J450">
        <v>4</v>
      </c>
      <c r="K450" t="s">
        <v>55</v>
      </c>
      <c r="L450" t="s">
        <v>59</v>
      </c>
      <c r="M450" t="s">
        <v>51</v>
      </c>
    </row>
    <row r="451" spans="1:13" x14ac:dyDescent="0.35">
      <c r="A451">
        <v>457</v>
      </c>
      <c r="B451">
        <v>45</v>
      </c>
      <c r="C451" s="1" t="s">
        <v>10</v>
      </c>
      <c r="D451" s="1" t="s">
        <v>28</v>
      </c>
      <c r="E451" s="1" t="s">
        <v>29</v>
      </c>
      <c r="F451">
        <v>8000</v>
      </c>
      <c r="G451">
        <v>34</v>
      </c>
      <c r="H451" s="1" t="s">
        <v>13</v>
      </c>
      <c r="I451" s="1" t="s">
        <v>14</v>
      </c>
      <c r="J451">
        <v>3</v>
      </c>
      <c r="K451" t="s">
        <v>49</v>
      </c>
      <c r="L451" t="s">
        <v>59</v>
      </c>
      <c r="M451" t="s">
        <v>52</v>
      </c>
    </row>
    <row r="452" spans="1:13" x14ac:dyDescent="0.35">
      <c r="A452">
        <v>458</v>
      </c>
      <c r="B452">
        <v>40</v>
      </c>
      <c r="C452" s="1" t="s">
        <v>15</v>
      </c>
      <c r="D452" s="1" t="s">
        <v>30</v>
      </c>
      <c r="E452" s="1" t="s">
        <v>31</v>
      </c>
      <c r="F452">
        <v>3000</v>
      </c>
      <c r="G452">
        <v>36</v>
      </c>
      <c r="H452" s="1" t="s">
        <v>13</v>
      </c>
      <c r="I452" s="1" t="s">
        <v>14</v>
      </c>
      <c r="J452">
        <v>4</v>
      </c>
      <c r="K452" t="s">
        <v>49</v>
      </c>
      <c r="L452" t="s">
        <v>59</v>
      </c>
      <c r="M452" t="s">
        <v>51</v>
      </c>
    </row>
    <row r="453" spans="1:13" x14ac:dyDescent="0.35">
      <c r="A453">
        <v>459</v>
      </c>
      <c r="B453">
        <v>78</v>
      </c>
      <c r="C453" s="1" t="s">
        <v>10</v>
      </c>
      <c r="D453" s="1" t="s">
        <v>32</v>
      </c>
      <c r="E453" s="1" t="s">
        <v>33</v>
      </c>
      <c r="F453">
        <v>18000</v>
      </c>
      <c r="G453">
        <v>38</v>
      </c>
      <c r="H453" s="1" t="s">
        <v>18</v>
      </c>
      <c r="I453" s="1" t="s">
        <v>19</v>
      </c>
      <c r="J453">
        <v>2</v>
      </c>
      <c r="K453" t="s">
        <v>55</v>
      </c>
      <c r="L453" t="s">
        <v>59</v>
      </c>
      <c r="M453" t="s">
        <v>57</v>
      </c>
    </row>
    <row r="454" spans="1:13" x14ac:dyDescent="0.35">
      <c r="A454">
        <v>460</v>
      </c>
      <c r="B454">
        <v>25</v>
      </c>
      <c r="C454" s="1" t="s">
        <v>15</v>
      </c>
      <c r="D454" s="1" t="s">
        <v>34</v>
      </c>
      <c r="E454" s="1" t="s">
        <v>35</v>
      </c>
      <c r="F454">
        <v>100</v>
      </c>
      <c r="G454">
        <v>31</v>
      </c>
      <c r="H454" s="1" t="s">
        <v>13</v>
      </c>
      <c r="I454" s="1" t="s">
        <v>14</v>
      </c>
      <c r="J454">
        <v>5</v>
      </c>
      <c r="K454" t="s">
        <v>53</v>
      </c>
      <c r="L454" t="s">
        <v>59</v>
      </c>
      <c r="M454" t="s">
        <v>51</v>
      </c>
    </row>
    <row r="455" spans="1:13" x14ac:dyDescent="0.35">
      <c r="A455">
        <v>461</v>
      </c>
      <c r="B455">
        <v>52</v>
      </c>
      <c r="C455" s="1" t="s">
        <v>10</v>
      </c>
      <c r="D455" s="1" t="s">
        <v>36</v>
      </c>
      <c r="E455" s="1" t="s">
        <v>37</v>
      </c>
      <c r="F455">
        <v>800</v>
      </c>
      <c r="G455">
        <v>32</v>
      </c>
      <c r="H455" s="1" t="s">
        <v>13</v>
      </c>
      <c r="I455" s="1" t="s">
        <v>19</v>
      </c>
      <c r="J455">
        <v>4</v>
      </c>
      <c r="K455" t="s">
        <v>49</v>
      </c>
      <c r="L455" t="s">
        <v>59</v>
      </c>
      <c r="M455" t="s">
        <v>51</v>
      </c>
    </row>
    <row r="456" spans="1:13" x14ac:dyDescent="0.35">
      <c r="A456">
        <v>462</v>
      </c>
      <c r="B456">
        <v>58</v>
      </c>
      <c r="C456" s="1" t="s">
        <v>15</v>
      </c>
      <c r="D456" s="1" t="s">
        <v>38</v>
      </c>
      <c r="E456" s="1" t="s">
        <v>39</v>
      </c>
      <c r="F456">
        <v>20000</v>
      </c>
      <c r="G456">
        <v>39</v>
      </c>
      <c r="H456" s="1" t="s">
        <v>13</v>
      </c>
      <c r="I456" s="1" t="s">
        <v>14</v>
      </c>
      <c r="J456">
        <v>3</v>
      </c>
      <c r="K456" t="s">
        <v>49</v>
      </c>
      <c r="L456" t="s">
        <v>59</v>
      </c>
      <c r="M456" t="s">
        <v>52</v>
      </c>
    </row>
    <row r="457" spans="1:13" x14ac:dyDescent="0.35">
      <c r="A457">
        <v>463</v>
      </c>
      <c r="B457">
        <v>32</v>
      </c>
      <c r="C457" s="1" t="s">
        <v>10</v>
      </c>
      <c r="D457" s="1" t="s">
        <v>40</v>
      </c>
      <c r="E457" s="1" t="s">
        <v>41</v>
      </c>
      <c r="F457">
        <v>12000</v>
      </c>
      <c r="G457">
        <v>33</v>
      </c>
      <c r="H457" s="1" t="s">
        <v>13</v>
      </c>
      <c r="I457" s="1" t="s">
        <v>14</v>
      </c>
      <c r="J457">
        <v>4</v>
      </c>
      <c r="K457" t="s">
        <v>53</v>
      </c>
      <c r="L457" t="s">
        <v>59</v>
      </c>
      <c r="M457" t="s">
        <v>51</v>
      </c>
    </row>
    <row r="458" spans="1:13" x14ac:dyDescent="0.35">
      <c r="A458">
        <v>464</v>
      </c>
      <c r="B458">
        <v>55</v>
      </c>
      <c r="C458" s="1" t="s">
        <v>15</v>
      </c>
      <c r="D458" s="1" t="s">
        <v>42</v>
      </c>
      <c r="E458" s="1" t="s">
        <v>43</v>
      </c>
      <c r="F458">
        <v>6000</v>
      </c>
      <c r="G458">
        <v>34</v>
      </c>
      <c r="H458" s="1" t="s">
        <v>13</v>
      </c>
      <c r="I458" s="1" t="s">
        <v>14</v>
      </c>
      <c r="J458">
        <v>3</v>
      </c>
      <c r="K458" t="s">
        <v>49</v>
      </c>
      <c r="L458" t="s">
        <v>59</v>
      </c>
      <c r="M458" t="s">
        <v>52</v>
      </c>
    </row>
    <row r="459" spans="1:13" x14ac:dyDescent="0.35">
      <c r="A459">
        <v>465</v>
      </c>
      <c r="B459">
        <v>65</v>
      </c>
      <c r="C459" s="1" t="s">
        <v>10</v>
      </c>
      <c r="D459" s="1" t="s">
        <v>44</v>
      </c>
      <c r="E459" s="1" t="s">
        <v>45</v>
      </c>
      <c r="F459">
        <v>4000</v>
      </c>
      <c r="G459">
        <v>35</v>
      </c>
      <c r="H459" s="1" t="s">
        <v>13</v>
      </c>
      <c r="I459" s="1" t="s">
        <v>19</v>
      </c>
      <c r="J459">
        <v>4</v>
      </c>
      <c r="K459" t="s">
        <v>55</v>
      </c>
      <c r="L459" t="s">
        <v>59</v>
      </c>
      <c r="M459" t="s">
        <v>51</v>
      </c>
    </row>
    <row r="460" spans="1:13" x14ac:dyDescent="0.35">
      <c r="A460">
        <v>466</v>
      </c>
      <c r="B460">
        <v>55</v>
      </c>
      <c r="C460" s="1" t="s">
        <v>10</v>
      </c>
      <c r="D460" s="1" t="s">
        <v>11</v>
      </c>
      <c r="E460" s="1" t="s">
        <v>12</v>
      </c>
      <c r="F460">
        <v>15000</v>
      </c>
      <c r="G460">
        <v>36</v>
      </c>
      <c r="H460" s="1" t="s">
        <v>18</v>
      </c>
      <c r="I460" s="1" t="s">
        <v>14</v>
      </c>
      <c r="J460">
        <v>3</v>
      </c>
      <c r="K460" t="s">
        <v>49</v>
      </c>
      <c r="L460" t="s">
        <v>59</v>
      </c>
      <c r="M460" t="s">
        <v>52</v>
      </c>
    </row>
    <row r="461" spans="1:13" x14ac:dyDescent="0.35">
      <c r="A461">
        <v>467</v>
      </c>
      <c r="B461">
        <v>62</v>
      </c>
      <c r="C461" s="1" t="s">
        <v>15</v>
      </c>
      <c r="D461" s="1" t="s">
        <v>16</v>
      </c>
      <c r="E461" s="1" t="s">
        <v>17</v>
      </c>
      <c r="F461">
        <v>2000</v>
      </c>
      <c r="G461">
        <v>34</v>
      </c>
      <c r="H461" s="1" t="s">
        <v>13</v>
      </c>
      <c r="I461" s="1" t="s">
        <v>19</v>
      </c>
      <c r="J461">
        <v>4</v>
      </c>
      <c r="K461" t="s">
        <v>55</v>
      </c>
      <c r="L461" t="s">
        <v>59</v>
      </c>
      <c r="M461" t="s">
        <v>51</v>
      </c>
    </row>
    <row r="462" spans="1:13" x14ac:dyDescent="0.35">
      <c r="A462">
        <v>468</v>
      </c>
      <c r="B462">
        <v>35</v>
      </c>
      <c r="C462" s="1" t="s">
        <v>10</v>
      </c>
      <c r="D462" s="1" t="s">
        <v>20</v>
      </c>
      <c r="E462" s="1" t="s">
        <v>21</v>
      </c>
      <c r="F462">
        <v>500</v>
      </c>
      <c r="G462">
        <v>32</v>
      </c>
      <c r="H462" s="1" t="s">
        <v>18</v>
      </c>
      <c r="I462" s="1" t="s">
        <v>14</v>
      </c>
      <c r="J462">
        <v>5</v>
      </c>
      <c r="K462" t="s">
        <v>53</v>
      </c>
      <c r="L462" t="s">
        <v>59</v>
      </c>
      <c r="M462" t="s">
        <v>51</v>
      </c>
    </row>
    <row r="463" spans="1:13" x14ac:dyDescent="0.35">
      <c r="A463">
        <v>469</v>
      </c>
      <c r="B463">
        <v>78</v>
      </c>
      <c r="C463" s="1" t="s">
        <v>15</v>
      </c>
      <c r="D463" s="1" t="s">
        <v>22</v>
      </c>
      <c r="E463" s="1" t="s">
        <v>23</v>
      </c>
      <c r="F463">
        <v>10000</v>
      </c>
      <c r="G463">
        <v>39</v>
      </c>
      <c r="H463" s="1" t="s">
        <v>13</v>
      </c>
      <c r="I463" s="1" t="s">
        <v>19</v>
      </c>
      <c r="J463">
        <v>2</v>
      </c>
      <c r="K463" t="s">
        <v>55</v>
      </c>
      <c r="L463" t="s">
        <v>59</v>
      </c>
      <c r="M463" t="s">
        <v>57</v>
      </c>
    </row>
    <row r="464" spans="1:13" x14ac:dyDescent="0.35">
      <c r="A464">
        <v>470</v>
      </c>
      <c r="B464">
        <v>53</v>
      </c>
      <c r="C464" s="1" t="s">
        <v>10</v>
      </c>
      <c r="D464" s="1" t="s">
        <v>24</v>
      </c>
      <c r="E464" s="1" t="s">
        <v>25</v>
      </c>
      <c r="F464">
        <v>25000</v>
      </c>
      <c r="G464">
        <v>41</v>
      </c>
      <c r="H464" s="1" t="s">
        <v>18</v>
      </c>
      <c r="I464" s="1" t="s">
        <v>14</v>
      </c>
      <c r="J464">
        <v>4</v>
      </c>
      <c r="K464" t="s">
        <v>49</v>
      </c>
      <c r="L464" t="s">
        <v>59</v>
      </c>
      <c r="M464" t="s">
        <v>51</v>
      </c>
    </row>
    <row r="465" spans="1:13" x14ac:dyDescent="0.35">
      <c r="A465">
        <v>471</v>
      </c>
      <c r="B465">
        <v>72</v>
      </c>
      <c r="C465" s="1" t="s">
        <v>15</v>
      </c>
      <c r="D465" s="1" t="s">
        <v>26</v>
      </c>
      <c r="E465" s="1" t="s">
        <v>27</v>
      </c>
      <c r="F465">
        <v>1000</v>
      </c>
      <c r="G465">
        <v>33</v>
      </c>
      <c r="H465" s="1" t="s">
        <v>13</v>
      </c>
      <c r="I465" s="1" t="s">
        <v>19</v>
      </c>
      <c r="J465">
        <v>4</v>
      </c>
      <c r="K465" t="s">
        <v>55</v>
      </c>
      <c r="L465" t="s">
        <v>59</v>
      </c>
      <c r="M465" t="s">
        <v>51</v>
      </c>
    </row>
    <row r="466" spans="1:13" x14ac:dyDescent="0.35">
      <c r="A466">
        <v>472</v>
      </c>
      <c r="B466">
        <v>60</v>
      </c>
      <c r="C466" s="1" t="s">
        <v>10</v>
      </c>
      <c r="D466" s="1" t="s">
        <v>28</v>
      </c>
      <c r="E466" s="1" t="s">
        <v>29</v>
      </c>
      <c r="F466">
        <v>8000</v>
      </c>
      <c r="G466">
        <v>35</v>
      </c>
      <c r="H466" s="1" t="s">
        <v>18</v>
      </c>
      <c r="I466" s="1" t="s">
        <v>14</v>
      </c>
      <c r="J466">
        <v>3</v>
      </c>
      <c r="K466" t="s">
        <v>49</v>
      </c>
      <c r="L466" t="s">
        <v>59</v>
      </c>
      <c r="M466" t="s">
        <v>52</v>
      </c>
    </row>
    <row r="467" spans="1:13" x14ac:dyDescent="0.35">
      <c r="A467">
        <v>473</v>
      </c>
      <c r="B467">
        <v>45</v>
      </c>
      <c r="C467" s="1" t="s">
        <v>15</v>
      </c>
      <c r="D467" s="1" t="s">
        <v>30</v>
      </c>
      <c r="E467" s="1" t="s">
        <v>31</v>
      </c>
      <c r="F467">
        <v>3000</v>
      </c>
      <c r="G467">
        <v>37</v>
      </c>
      <c r="H467" s="1" t="s">
        <v>13</v>
      </c>
      <c r="I467" s="1" t="s">
        <v>14</v>
      </c>
      <c r="J467">
        <v>4</v>
      </c>
      <c r="K467" t="s">
        <v>49</v>
      </c>
      <c r="L467" t="s">
        <v>59</v>
      </c>
      <c r="M467" t="s">
        <v>51</v>
      </c>
    </row>
    <row r="468" spans="1:13" x14ac:dyDescent="0.35">
      <c r="A468">
        <v>474</v>
      </c>
      <c r="B468">
        <v>75</v>
      </c>
      <c r="C468" s="1" t="s">
        <v>10</v>
      </c>
      <c r="D468" s="1" t="s">
        <v>32</v>
      </c>
      <c r="E468" s="1" t="s">
        <v>33</v>
      </c>
      <c r="F468">
        <v>18000</v>
      </c>
      <c r="G468">
        <v>39</v>
      </c>
      <c r="H468" s="1" t="s">
        <v>18</v>
      </c>
      <c r="I468" s="1" t="s">
        <v>19</v>
      </c>
      <c r="J468">
        <v>2</v>
      </c>
      <c r="K468" t="s">
        <v>55</v>
      </c>
      <c r="L468" t="s">
        <v>59</v>
      </c>
      <c r="M468" t="s">
        <v>57</v>
      </c>
    </row>
    <row r="469" spans="1:13" x14ac:dyDescent="0.35">
      <c r="A469">
        <v>475</v>
      </c>
      <c r="B469">
        <v>28</v>
      </c>
      <c r="C469" s="1" t="s">
        <v>15</v>
      </c>
      <c r="D469" s="1" t="s">
        <v>34</v>
      </c>
      <c r="E469" s="1" t="s">
        <v>35</v>
      </c>
      <c r="F469">
        <v>100</v>
      </c>
      <c r="G469">
        <v>32</v>
      </c>
      <c r="H469" s="1" t="s">
        <v>13</v>
      </c>
      <c r="I469" s="1" t="s">
        <v>14</v>
      </c>
      <c r="J469">
        <v>5</v>
      </c>
      <c r="K469" t="s">
        <v>53</v>
      </c>
      <c r="L469" t="s">
        <v>59</v>
      </c>
      <c r="M469" t="s">
        <v>51</v>
      </c>
    </row>
    <row r="470" spans="1:13" x14ac:dyDescent="0.35">
      <c r="A470">
        <v>476</v>
      </c>
      <c r="B470">
        <v>52</v>
      </c>
      <c r="C470" s="1" t="s">
        <v>10</v>
      </c>
      <c r="D470" s="1" t="s">
        <v>36</v>
      </c>
      <c r="E470" s="1" t="s">
        <v>37</v>
      </c>
      <c r="F470">
        <v>800</v>
      </c>
      <c r="G470">
        <v>33</v>
      </c>
      <c r="H470" s="1" t="s">
        <v>13</v>
      </c>
      <c r="I470" s="1" t="s">
        <v>19</v>
      </c>
      <c r="J470">
        <v>4</v>
      </c>
      <c r="K470" t="s">
        <v>49</v>
      </c>
      <c r="L470" t="s">
        <v>59</v>
      </c>
      <c r="M470" t="s">
        <v>51</v>
      </c>
    </row>
    <row r="471" spans="1:13" x14ac:dyDescent="0.35">
      <c r="A471">
        <v>477</v>
      </c>
      <c r="B471">
        <v>67</v>
      </c>
      <c r="C471" s="1" t="s">
        <v>15</v>
      </c>
      <c r="D471" s="1" t="s">
        <v>38</v>
      </c>
      <c r="E471" s="1" t="s">
        <v>39</v>
      </c>
      <c r="F471">
        <v>20000</v>
      </c>
      <c r="G471">
        <v>40</v>
      </c>
      <c r="H471" s="1" t="s">
        <v>13</v>
      </c>
      <c r="I471" s="1" t="s">
        <v>14</v>
      </c>
      <c r="J471">
        <v>3</v>
      </c>
      <c r="K471" t="s">
        <v>55</v>
      </c>
      <c r="L471" t="s">
        <v>59</v>
      </c>
      <c r="M471" t="s">
        <v>52</v>
      </c>
    </row>
    <row r="472" spans="1:13" x14ac:dyDescent="0.35">
      <c r="A472">
        <v>479</v>
      </c>
      <c r="B472">
        <v>50</v>
      </c>
      <c r="C472" s="1" t="s">
        <v>15</v>
      </c>
      <c r="D472" s="1" t="s">
        <v>42</v>
      </c>
      <c r="E472" s="1" t="s">
        <v>43</v>
      </c>
      <c r="F472">
        <v>6000</v>
      </c>
      <c r="G472">
        <v>35</v>
      </c>
      <c r="H472" s="1" t="s">
        <v>13</v>
      </c>
      <c r="I472" s="1" t="s">
        <v>14</v>
      </c>
      <c r="J472">
        <v>3</v>
      </c>
      <c r="K472" t="s">
        <v>49</v>
      </c>
      <c r="L472" t="s">
        <v>59</v>
      </c>
      <c r="M472" t="s">
        <v>52</v>
      </c>
    </row>
    <row r="473" spans="1:13" x14ac:dyDescent="0.35">
      <c r="A473">
        <v>480</v>
      </c>
      <c r="B473">
        <v>60</v>
      </c>
      <c r="C473" s="1" t="s">
        <v>10</v>
      </c>
      <c r="D473" s="1" t="s">
        <v>44</v>
      </c>
      <c r="E473" s="1" t="s">
        <v>45</v>
      </c>
      <c r="F473">
        <v>4000</v>
      </c>
      <c r="G473">
        <v>36</v>
      </c>
      <c r="H473" s="1" t="s">
        <v>13</v>
      </c>
      <c r="I473" s="1" t="s">
        <v>19</v>
      </c>
      <c r="J473">
        <v>4</v>
      </c>
      <c r="K473" t="s">
        <v>49</v>
      </c>
      <c r="L473" t="s">
        <v>59</v>
      </c>
      <c r="M473" t="s">
        <v>51</v>
      </c>
    </row>
    <row r="474" spans="1:13" x14ac:dyDescent="0.35">
      <c r="A474">
        <v>481</v>
      </c>
      <c r="B474">
        <v>48</v>
      </c>
      <c r="C474" s="1" t="s">
        <v>10</v>
      </c>
      <c r="D474" s="1" t="s">
        <v>11</v>
      </c>
      <c r="E474" s="1" t="s">
        <v>12</v>
      </c>
      <c r="F474">
        <v>15000</v>
      </c>
      <c r="G474">
        <v>37</v>
      </c>
      <c r="H474" s="1" t="s">
        <v>18</v>
      </c>
      <c r="I474" s="1" t="s">
        <v>14</v>
      </c>
      <c r="J474">
        <v>4</v>
      </c>
      <c r="K474" t="s">
        <v>49</v>
      </c>
      <c r="L474" t="s">
        <v>59</v>
      </c>
      <c r="M474" t="s">
        <v>51</v>
      </c>
    </row>
    <row r="475" spans="1:13" x14ac:dyDescent="0.35">
      <c r="A475">
        <v>482</v>
      </c>
      <c r="B475">
        <v>65</v>
      </c>
      <c r="C475" s="1" t="s">
        <v>15</v>
      </c>
      <c r="D475" s="1" t="s">
        <v>16</v>
      </c>
      <c r="E475" s="1" t="s">
        <v>17</v>
      </c>
      <c r="F475">
        <v>2000</v>
      </c>
      <c r="G475">
        <v>35</v>
      </c>
      <c r="H475" s="1" t="s">
        <v>13</v>
      </c>
      <c r="I475" s="1" t="s">
        <v>19</v>
      </c>
      <c r="J475">
        <v>3</v>
      </c>
      <c r="K475" t="s">
        <v>55</v>
      </c>
      <c r="L475" t="s">
        <v>59</v>
      </c>
      <c r="M475" t="s">
        <v>52</v>
      </c>
    </row>
    <row r="476" spans="1:13" x14ac:dyDescent="0.35">
      <c r="A476">
        <v>483</v>
      </c>
      <c r="B476">
        <v>30</v>
      </c>
      <c r="C476" s="1" t="s">
        <v>10</v>
      </c>
      <c r="D476" s="1" t="s">
        <v>20</v>
      </c>
      <c r="E476" s="1" t="s">
        <v>21</v>
      </c>
      <c r="F476">
        <v>500</v>
      </c>
      <c r="G476">
        <v>33</v>
      </c>
      <c r="H476" s="1" t="s">
        <v>13</v>
      </c>
      <c r="I476" s="1" t="s">
        <v>14</v>
      </c>
      <c r="J476">
        <v>5</v>
      </c>
      <c r="K476" t="s">
        <v>53</v>
      </c>
      <c r="L476" t="s">
        <v>59</v>
      </c>
      <c r="M476" t="s">
        <v>51</v>
      </c>
    </row>
    <row r="477" spans="1:13" x14ac:dyDescent="0.35">
      <c r="A477">
        <v>484</v>
      </c>
      <c r="B477">
        <v>70</v>
      </c>
      <c r="C477" s="1" t="s">
        <v>15</v>
      </c>
      <c r="D477" s="1" t="s">
        <v>22</v>
      </c>
      <c r="E477" s="1" t="s">
        <v>23</v>
      </c>
      <c r="F477">
        <v>10000</v>
      </c>
      <c r="G477">
        <v>40</v>
      </c>
      <c r="H477" s="1" t="s">
        <v>18</v>
      </c>
      <c r="I477" s="1" t="s">
        <v>19</v>
      </c>
      <c r="J477">
        <v>2</v>
      </c>
      <c r="K477" t="s">
        <v>55</v>
      </c>
      <c r="L477" t="s">
        <v>59</v>
      </c>
      <c r="M477" t="s">
        <v>57</v>
      </c>
    </row>
    <row r="478" spans="1:13" x14ac:dyDescent="0.35">
      <c r="A478">
        <v>485</v>
      </c>
      <c r="B478">
        <v>55</v>
      </c>
      <c r="C478" s="1" t="s">
        <v>10</v>
      </c>
      <c r="D478" s="1" t="s">
        <v>24</v>
      </c>
      <c r="E478" s="1" t="s">
        <v>25</v>
      </c>
      <c r="F478">
        <v>25000</v>
      </c>
      <c r="G478">
        <v>42</v>
      </c>
      <c r="H478" s="1" t="s">
        <v>13</v>
      </c>
      <c r="I478" s="1" t="s">
        <v>14</v>
      </c>
      <c r="J478">
        <v>4</v>
      </c>
      <c r="K478" t="s">
        <v>49</v>
      </c>
      <c r="L478" t="s">
        <v>59</v>
      </c>
      <c r="M478" t="s">
        <v>51</v>
      </c>
    </row>
    <row r="479" spans="1:13" x14ac:dyDescent="0.35">
      <c r="A479">
        <v>486</v>
      </c>
      <c r="B479">
        <v>68</v>
      </c>
      <c r="C479" s="1" t="s">
        <v>15</v>
      </c>
      <c r="D479" s="1" t="s">
        <v>26</v>
      </c>
      <c r="E479" s="1" t="s">
        <v>27</v>
      </c>
      <c r="F479">
        <v>1000</v>
      </c>
      <c r="G479">
        <v>34</v>
      </c>
      <c r="H479" s="1" t="s">
        <v>13</v>
      </c>
      <c r="I479" s="1" t="s">
        <v>19</v>
      </c>
      <c r="J479">
        <v>4</v>
      </c>
      <c r="K479" t="s">
        <v>55</v>
      </c>
      <c r="L479" t="s">
        <v>59</v>
      </c>
      <c r="M479" t="s">
        <v>51</v>
      </c>
    </row>
    <row r="480" spans="1:13" x14ac:dyDescent="0.35">
      <c r="A480">
        <v>487</v>
      </c>
      <c r="B480">
        <v>45</v>
      </c>
      <c r="C480" s="1" t="s">
        <v>10</v>
      </c>
      <c r="D480" s="1" t="s">
        <v>28</v>
      </c>
      <c r="E480" s="1" t="s">
        <v>29</v>
      </c>
      <c r="F480">
        <v>8000</v>
      </c>
      <c r="G480">
        <v>36</v>
      </c>
      <c r="H480" s="1" t="s">
        <v>13</v>
      </c>
      <c r="I480" s="1" t="s">
        <v>14</v>
      </c>
      <c r="J480">
        <v>3</v>
      </c>
      <c r="K480" t="s">
        <v>49</v>
      </c>
      <c r="L480" t="s">
        <v>59</v>
      </c>
      <c r="M480" t="s">
        <v>52</v>
      </c>
    </row>
    <row r="481" spans="1:13" x14ac:dyDescent="0.35">
      <c r="A481">
        <v>488</v>
      </c>
      <c r="B481">
        <v>40</v>
      </c>
      <c r="C481" s="1" t="s">
        <v>15</v>
      </c>
      <c r="D481" s="1" t="s">
        <v>30</v>
      </c>
      <c r="E481" s="1" t="s">
        <v>31</v>
      </c>
      <c r="F481">
        <v>3000</v>
      </c>
      <c r="G481">
        <v>38</v>
      </c>
      <c r="H481" s="1" t="s">
        <v>13</v>
      </c>
      <c r="I481" s="1" t="s">
        <v>14</v>
      </c>
      <c r="J481">
        <v>4</v>
      </c>
      <c r="K481" t="s">
        <v>49</v>
      </c>
      <c r="L481" t="s">
        <v>59</v>
      </c>
      <c r="M481" t="s">
        <v>51</v>
      </c>
    </row>
    <row r="482" spans="1:13" x14ac:dyDescent="0.35">
      <c r="A482">
        <v>489</v>
      </c>
      <c r="B482">
        <v>78</v>
      </c>
      <c r="C482" s="1" t="s">
        <v>10</v>
      </c>
      <c r="D482" s="1" t="s">
        <v>32</v>
      </c>
      <c r="E482" s="1" t="s">
        <v>33</v>
      </c>
      <c r="F482">
        <v>18000</v>
      </c>
      <c r="G482">
        <v>40</v>
      </c>
      <c r="H482" s="1" t="s">
        <v>18</v>
      </c>
      <c r="I482" s="1" t="s">
        <v>19</v>
      </c>
      <c r="J482">
        <v>2</v>
      </c>
      <c r="K482" t="s">
        <v>55</v>
      </c>
      <c r="L482" t="s">
        <v>59</v>
      </c>
      <c r="M482" t="s">
        <v>57</v>
      </c>
    </row>
    <row r="483" spans="1:13" x14ac:dyDescent="0.35">
      <c r="A483">
        <v>490</v>
      </c>
      <c r="B483">
        <v>25</v>
      </c>
      <c r="C483" s="1" t="s">
        <v>15</v>
      </c>
      <c r="D483" s="1" t="s">
        <v>34</v>
      </c>
      <c r="E483" s="1" t="s">
        <v>35</v>
      </c>
      <c r="F483">
        <v>100</v>
      </c>
      <c r="G483">
        <v>33</v>
      </c>
      <c r="H483" s="1" t="s">
        <v>13</v>
      </c>
      <c r="I483" s="1" t="s">
        <v>14</v>
      </c>
      <c r="J483">
        <v>5</v>
      </c>
      <c r="K483" t="s">
        <v>53</v>
      </c>
      <c r="L483" t="s">
        <v>59</v>
      </c>
      <c r="M483" t="s">
        <v>51</v>
      </c>
    </row>
    <row r="484" spans="1:13" x14ac:dyDescent="0.35">
      <c r="A484">
        <v>491</v>
      </c>
      <c r="B484">
        <v>52</v>
      </c>
      <c r="C484" s="1" t="s">
        <v>10</v>
      </c>
      <c r="D484" s="1" t="s">
        <v>36</v>
      </c>
      <c r="E484" s="1" t="s">
        <v>37</v>
      </c>
      <c r="F484">
        <v>800</v>
      </c>
      <c r="G484">
        <v>34</v>
      </c>
      <c r="H484" s="1" t="s">
        <v>13</v>
      </c>
      <c r="I484" s="1" t="s">
        <v>19</v>
      </c>
      <c r="J484">
        <v>4</v>
      </c>
      <c r="K484" t="s">
        <v>49</v>
      </c>
      <c r="L484" t="s">
        <v>59</v>
      </c>
      <c r="M484" t="s">
        <v>51</v>
      </c>
    </row>
    <row r="485" spans="1:13" x14ac:dyDescent="0.35">
      <c r="A485">
        <v>492</v>
      </c>
      <c r="B485">
        <v>58</v>
      </c>
      <c r="C485" s="1" t="s">
        <v>15</v>
      </c>
      <c r="D485" s="1" t="s">
        <v>38</v>
      </c>
      <c r="E485" s="1" t="s">
        <v>39</v>
      </c>
      <c r="F485">
        <v>20000</v>
      </c>
      <c r="G485">
        <v>41</v>
      </c>
      <c r="H485" s="1" t="s">
        <v>13</v>
      </c>
      <c r="I485" s="1" t="s">
        <v>14</v>
      </c>
      <c r="J485">
        <v>3</v>
      </c>
      <c r="K485" t="s">
        <v>49</v>
      </c>
      <c r="L485" t="s">
        <v>59</v>
      </c>
      <c r="M485" t="s">
        <v>52</v>
      </c>
    </row>
    <row r="486" spans="1:13" x14ac:dyDescent="0.35">
      <c r="A486">
        <v>493</v>
      </c>
      <c r="B486">
        <v>32</v>
      </c>
      <c r="C486" s="1" t="s">
        <v>10</v>
      </c>
      <c r="D486" s="1" t="s">
        <v>40</v>
      </c>
      <c r="E486" s="1" t="s">
        <v>41</v>
      </c>
      <c r="F486">
        <v>12000</v>
      </c>
      <c r="G486">
        <v>35</v>
      </c>
      <c r="H486" s="1" t="s">
        <v>13</v>
      </c>
      <c r="I486" s="1" t="s">
        <v>14</v>
      </c>
      <c r="J486">
        <v>4</v>
      </c>
      <c r="K486" t="s">
        <v>53</v>
      </c>
      <c r="L486" t="s">
        <v>59</v>
      </c>
      <c r="M486" t="s">
        <v>51</v>
      </c>
    </row>
    <row r="487" spans="1:13" x14ac:dyDescent="0.35">
      <c r="A487">
        <v>494</v>
      </c>
      <c r="B487">
        <v>55</v>
      </c>
      <c r="C487" s="1" t="s">
        <v>15</v>
      </c>
      <c r="D487" s="1" t="s">
        <v>42</v>
      </c>
      <c r="E487" s="1" t="s">
        <v>43</v>
      </c>
      <c r="F487">
        <v>6000</v>
      </c>
      <c r="G487">
        <v>36</v>
      </c>
      <c r="H487" s="1" t="s">
        <v>13</v>
      </c>
      <c r="I487" s="1" t="s">
        <v>14</v>
      </c>
      <c r="J487">
        <v>3</v>
      </c>
      <c r="K487" t="s">
        <v>49</v>
      </c>
      <c r="L487" t="s">
        <v>59</v>
      </c>
      <c r="M487" t="s">
        <v>52</v>
      </c>
    </row>
    <row r="488" spans="1:13" x14ac:dyDescent="0.35">
      <c r="A488">
        <v>495</v>
      </c>
      <c r="B488">
        <v>65</v>
      </c>
      <c r="C488" s="1" t="s">
        <v>10</v>
      </c>
      <c r="D488" s="1" t="s">
        <v>44</v>
      </c>
      <c r="E488" s="1" t="s">
        <v>45</v>
      </c>
      <c r="F488">
        <v>4000</v>
      </c>
      <c r="G488">
        <v>37</v>
      </c>
      <c r="H488" s="1" t="s">
        <v>13</v>
      </c>
      <c r="I488" s="1" t="s">
        <v>19</v>
      </c>
      <c r="J488">
        <v>4</v>
      </c>
      <c r="K488" t="s">
        <v>55</v>
      </c>
      <c r="L488" t="s">
        <v>59</v>
      </c>
      <c r="M488" t="s">
        <v>51</v>
      </c>
    </row>
    <row r="489" spans="1:13" x14ac:dyDescent="0.35">
      <c r="A489">
        <v>496</v>
      </c>
      <c r="B489">
        <v>55</v>
      </c>
      <c r="C489" s="1" t="s">
        <v>10</v>
      </c>
      <c r="D489" s="1" t="s">
        <v>11</v>
      </c>
      <c r="E489" s="1" t="s">
        <v>12</v>
      </c>
      <c r="F489">
        <v>15000</v>
      </c>
      <c r="G489">
        <v>38</v>
      </c>
      <c r="H489" s="1" t="s">
        <v>18</v>
      </c>
      <c r="I489" s="1" t="s">
        <v>14</v>
      </c>
      <c r="J489">
        <v>3</v>
      </c>
      <c r="K489" t="s">
        <v>49</v>
      </c>
      <c r="L489" t="s">
        <v>59</v>
      </c>
      <c r="M489" t="s">
        <v>52</v>
      </c>
    </row>
    <row r="490" spans="1:13" x14ac:dyDescent="0.35">
      <c r="A490">
        <v>497</v>
      </c>
      <c r="B490">
        <v>62</v>
      </c>
      <c r="C490" s="1" t="s">
        <v>15</v>
      </c>
      <c r="D490" s="1" t="s">
        <v>16</v>
      </c>
      <c r="E490" s="1" t="s">
        <v>17</v>
      </c>
      <c r="F490">
        <v>2000</v>
      </c>
      <c r="G490">
        <v>36</v>
      </c>
      <c r="H490" s="1" t="s">
        <v>13</v>
      </c>
      <c r="I490" s="1" t="s">
        <v>19</v>
      </c>
      <c r="J490">
        <v>4</v>
      </c>
      <c r="K490" t="s">
        <v>55</v>
      </c>
      <c r="L490" t="s">
        <v>59</v>
      </c>
      <c r="M490" t="s">
        <v>51</v>
      </c>
    </row>
    <row r="491" spans="1:13" x14ac:dyDescent="0.35">
      <c r="A491">
        <v>498</v>
      </c>
      <c r="B491">
        <v>35</v>
      </c>
      <c r="C491" s="1" t="s">
        <v>10</v>
      </c>
      <c r="D491" s="1" t="s">
        <v>20</v>
      </c>
      <c r="E491" s="1" t="s">
        <v>21</v>
      </c>
      <c r="F491">
        <v>500</v>
      </c>
      <c r="G491">
        <v>34</v>
      </c>
      <c r="H491" s="1" t="s">
        <v>18</v>
      </c>
      <c r="I491" s="1" t="s">
        <v>14</v>
      </c>
      <c r="J491">
        <v>5</v>
      </c>
      <c r="K491" t="s">
        <v>53</v>
      </c>
      <c r="L491" t="s">
        <v>59</v>
      </c>
      <c r="M491" t="s">
        <v>51</v>
      </c>
    </row>
    <row r="492" spans="1:13" x14ac:dyDescent="0.35">
      <c r="A492">
        <v>499</v>
      </c>
      <c r="B492">
        <v>78</v>
      </c>
      <c r="C492" s="1" t="s">
        <v>15</v>
      </c>
      <c r="D492" s="1" t="s">
        <v>22</v>
      </c>
      <c r="E492" s="1" t="s">
        <v>23</v>
      </c>
      <c r="F492">
        <v>10000</v>
      </c>
      <c r="G492">
        <v>41</v>
      </c>
      <c r="H492" s="1" t="s">
        <v>13</v>
      </c>
      <c r="I492" s="1" t="s">
        <v>19</v>
      </c>
      <c r="J492">
        <v>2</v>
      </c>
      <c r="K492" t="s">
        <v>55</v>
      </c>
      <c r="L492" t="s">
        <v>59</v>
      </c>
      <c r="M492" t="s">
        <v>57</v>
      </c>
    </row>
    <row r="493" spans="1:13" x14ac:dyDescent="0.35">
      <c r="A493">
        <v>500</v>
      </c>
      <c r="B493">
        <v>53</v>
      </c>
      <c r="C493" s="1" t="s">
        <v>10</v>
      </c>
      <c r="D493" s="1" t="s">
        <v>24</v>
      </c>
      <c r="E493" s="1" t="s">
        <v>25</v>
      </c>
      <c r="F493">
        <v>25000</v>
      </c>
      <c r="G493">
        <v>43</v>
      </c>
      <c r="H493" s="1" t="s">
        <v>18</v>
      </c>
      <c r="I493" s="1" t="s">
        <v>14</v>
      </c>
      <c r="J493">
        <v>4</v>
      </c>
      <c r="K493" t="s">
        <v>49</v>
      </c>
      <c r="L493" t="s">
        <v>59</v>
      </c>
      <c r="M493" t="s">
        <v>51</v>
      </c>
    </row>
    <row r="494" spans="1:13" x14ac:dyDescent="0.35">
      <c r="A494">
        <v>501</v>
      </c>
      <c r="B494">
        <v>72</v>
      </c>
      <c r="C494" s="1" t="s">
        <v>15</v>
      </c>
      <c r="D494" s="1" t="s">
        <v>26</v>
      </c>
      <c r="E494" s="1" t="s">
        <v>27</v>
      </c>
      <c r="F494">
        <v>1000</v>
      </c>
      <c r="G494">
        <v>35</v>
      </c>
      <c r="H494" s="1" t="s">
        <v>13</v>
      </c>
      <c r="I494" s="1" t="s">
        <v>19</v>
      </c>
      <c r="J494">
        <v>4</v>
      </c>
      <c r="K494" t="s">
        <v>55</v>
      </c>
      <c r="L494" t="s">
        <v>59</v>
      </c>
      <c r="M494" t="s">
        <v>51</v>
      </c>
    </row>
    <row r="495" spans="1:13" x14ac:dyDescent="0.35">
      <c r="A495">
        <v>502</v>
      </c>
      <c r="B495">
        <v>60</v>
      </c>
      <c r="C495" s="1" t="s">
        <v>10</v>
      </c>
      <c r="D495" s="1" t="s">
        <v>28</v>
      </c>
      <c r="E495" s="1" t="s">
        <v>29</v>
      </c>
      <c r="F495">
        <v>8000</v>
      </c>
      <c r="G495">
        <v>37</v>
      </c>
      <c r="H495" s="1" t="s">
        <v>18</v>
      </c>
      <c r="I495" s="1" t="s">
        <v>14</v>
      </c>
      <c r="J495">
        <v>3</v>
      </c>
      <c r="K495" t="s">
        <v>49</v>
      </c>
      <c r="L495" t="s">
        <v>59</v>
      </c>
      <c r="M495" t="s">
        <v>52</v>
      </c>
    </row>
    <row r="496" spans="1:13" x14ac:dyDescent="0.35">
      <c r="A496">
        <v>503</v>
      </c>
      <c r="B496">
        <v>45</v>
      </c>
      <c r="C496" s="1" t="s">
        <v>15</v>
      </c>
      <c r="D496" s="1" t="s">
        <v>30</v>
      </c>
      <c r="E496" s="1" t="s">
        <v>31</v>
      </c>
      <c r="F496">
        <v>3000</v>
      </c>
      <c r="G496">
        <v>39</v>
      </c>
      <c r="H496" s="1" t="s">
        <v>13</v>
      </c>
      <c r="I496" s="1" t="s">
        <v>14</v>
      </c>
      <c r="J496">
        <v>4</v>
      </c>
      <c r="K496" t="s">
        <v>49</v>
      </c>
      <c r="L496" t="s">
        <v>59</v>
      </c>
      <c r="M496" t="s">
        <v>51</v>
      </c>
    </row>
    <row r="497" spans="1:13" x14ac:dyDescent="0.35">
      <c r="A497">
        <v>504</v>
      </c>
      <c r="B497">
        <v>75</v>
      </c>
      <c r="C497" s="1" t="s">
        <v>10</v>
      </c>
      <c r="D497" s="1" t="s">
        <v>32</v>
      </c>
      <c r="E497" s="1" t="s">
        <v>33</v>
      </c>
      <c r="F497">
        <v>18000</v>
      </c>
      <c r="G497">
        <v>41</v>
      </c>
      <c r="H497" s="1" t="s">
        <v>18</v>
      </c>
      <c r="I497" s="1" t="s">
        <v>19</v>
      </c>
      <c r="J497">
        <v>2</v>
      </c>
      <c r="K497" t="s">
        <v>55</v>
      </c>
      <c r="L497" t="s">
        <v>59</v>
      </c>
      <c r="M497" t="s">
        <v>57</v>
      </c>
    </row>
    <row r="498" spans="1:13" x14ac:dyDescent="0.35">
      <c r="A498">
        <v>505</v>
      </c>
      <c r="B498">
        <v>28</v>
      </c>
      <c r="C498" s="1" t="s">
        <v>15</v>
      </c>
      <c r="D498" s="1" t="s">
        <v>34</v>
      </c>
      <c r="E498" s="1" t="s">
        <v>35</v>
      </c>
      <c r="F498">
        <v>100</v>
      </c>
      <c r="G498">
        <v>34</v>
      </c>
      <c r="H498" s="1" t="s">
        <v>13</v>
      </c>
      <c r="I498" s="1" t="s">
        <v>14</v>
      </c>
      <c r="J498">
        <v>5</v>
      </c>
      <c r="K498" t="s">
        <v>53</v>
      </c>
      <c r="L498" t="s">
        <v>59</v>
      </c>
      <c r="M498" t="s">
        <v>51</v>
      </c>
    </row>
    <row r="499" spans="1:13" x14ac:dyDescent="0.35">
      <c r="A499">
        <v>506</v>
      </c>
      <c r="B499">
        <v>52</v>
      </c>
      <c r="C499" s="1" t="s">
        <v>10</v>
      </c>
      <c r="D499" s="1" t="s">
        <v>36</v>
      </c>
      <c r="E499" s="1" t="s">
        <v>37</v>
      </c>
      <c r="F499">
        <v>800</v>
      </c>
      <c r="G499">
        <v>35</v>
      </c>
      <c r="H499" s="1" t="s">
        <v>13</v>
      </c>
      <c r="I499" s="1" t="s">
        <v>19</v>
      </c>
      <c r="J499">
        <v>4</v>
      </c>
      <c r="K499" t="s">
        <v>49</v>
      </c>
      <c r="L499" t="s">
        <v>59</v>
      </c>
      <c r="M499" t="s">
        <v>51</v>
      </c>
    </row>
    <row r="500" spans="1:13" x14ac:dyDescent="0.35">
      <c r="A500">
        <v>507</v>
      </c>
      <c r="B500">
        <v>67</v>
      </c>
      <c r="C500" s="1" t="s">
        <v>15</v>
      </c>
      <c r="D500" s="1" t="s">
        <v>38</v>
      </c>
      <c r="E500" s="1" t="s">
        <v>39</v>
      </c>
      <c r="F500">
        <v>20000</v>
      </c>
      <c r="G500">
        <v>42</v>
      </c>
      <c r="H500" s="1" t="s">
        <v>13</v>
      </c>
      <c r="I500" s="1" t="s">
        <v>14</v>
      </c>
      <c r="J500">
        <v>3</v>
      </c>
      <c r="K500" t="s">
        <v>55</v>
      </c>
      <c r="L500" t="s">
        <v>59</v>
      </c>
      <c r="M500" t="s">
        <v>52</v>
      </c>
    </row>
    <row r="501" spans="1:13" x14ac:dyDescent="0.35">
      <c r="A501">
        <v>508</v>
      </c>
      <c r="B501">
        <v>35</v>
      </c>
      <c r="C501" s="1" t="s">
        <v>10</v>
      </c>
      <c r="D501" s="1" t="s">
        <v>40</v>
      </c>
      <c r="E501" s="1" t="s">
        <v>41</v>
      </c>
      <c r="F501">
        <v>12000</v>
      </c>
      <c r="G501">
        <v>36</v>
      </c>
      <c r="H501" s="1" t="s">
        <v>13</v>
      </c>
      <c r="I501" s="1" t="s">
        <v>14</v>
      </c>
      <c r="J501">
        <v>4</v>
      </c>
      <c r="K501" t="s">
        <v>53</v>
      </c>
      <c r="L501" t="s">
        <v>59</v>
      </c>
      <c r="M501" t="s">
        <v>51</v>
      </c>
    </row>
    <row r="502" spans="1:13" x14ac:dyDescent="0.35">
      <c r="A502">
        <v>509</v>
      </c>
      <c r="B502">
        <v>50</v>
      </c>
      <c r="C502" s="1" t="s">
        <v>15</v>
      </c>
      <c r="D502" s="1" t="s">
        <v>42</v>
      </c>
      <c r="E502" s="1" t="s">
        <v>43</v>
      </c>
      <c r="F502">
        <v>6000</v>
      </c>
      <c r="G502">
        <v>37</v>
      </c>
      <c r="H502" s="1" t="s">
        <v>13</v>
      </c>
      <c r="I502" s="1" t="s">
        <v>14</v>
      </c>
      <c r="J502">
        <v>3</v>
      </c>
      <c r="K502" t="s">
        <v>49</v>
      </c>
      <c r="L502" t="s">
        <v>59</v>
      </c>
      <c r="M502" t="s">
        <v>52</v>
      </c>
    </row>
    <row r="503" spans="1:13" x14ac:dyDescent="0.35">
      <c r="A503">
        <v>510</v>
      </c>
      <c r="B503">
        <v>60</v>
      </c>
      <c r="C503" s="1" t="s">
        <v>10</v>
      </c>
      <c r="D503" s="1" t="s">
        <v>44</v>
      </c>
      <c r="E503" s="1" t="s">
        <v>45</v>
      </c>
      <c r="F503">
        <v>4000</v>
      </c>
      <c r="G503">
        <v>38</v>
      </c>
      <c r="H503" s="1" t="s">
        <v>13</v>
      </c>
      <c r="I503" s="1" t="s">
        <v>19</v>
      </c>
      <c r="J503">
        <v>4</v>
      </c>
      <c r="K503" t="s">
        <v>49</v>
      </c>
      <c r="L503" t="s">
        <v>59</v>
      </c>
      <c r="M503" t="s">
        <v>51</v>
      </c>
    </row>
    <row r="504" spans="1:13" x14ac:dyDescent="0.35">
      <c r="A504">
        <v>511</v>
      </c>
      <c r="B504">
        <v>48</v>
      </c>
      <c r="C504" s="1" t="s">
        <v>10</v>
      </c>
      <c r="D504" s="1" t="s">
        <v>11</v>
      </c>
      <c r="E504" s="1" t="s">
        <v>12</v>
      </c>
      <c r="F504">
        <v>15000</v>
      </c>
      <c r="G504">
        <v>39</v>
      </c>
      <c r="H504" s="1" t="s">
        <v>18</v>
      </c>
      <c r="I504" s="1" t="s">
        <v>14</v>
      </c>
      <c r="J504">
        <v>4</v>
      </c>
      <c r="K504" t="s">
        <v>49</v>
      </c>
      <c r="L504" t="s">
        <v>59</v>
      </c>
      <c r="M504" t="s">
        <v>51</v>
      </c>
    </row>
    <row r="505" spans="1:13" x14ac:dyDescent="0.35">
      <c r="A505">
        <v>512</v>
      </c>
      <c r="B505">
        <v>65</v>
      </c>
      <c r="C505" s="1" t="s">
        <v>15</v>
      </c>
      <c r="D505" s="1" t="s">
        <v>16</v>
      </c>
      <c r="E505" s="1" t="s">
        <v>17</v>
      </c>
      <c r="F505">
        <v>2000</v>
      </c>
      <c r="G505">
        <v>37</v>
      </c>
      <c r="H505" s="1" t="s">
        <v>13</v>
      </c>
      <c r="I505" s="1" t="s">
        <v>19</v>
      </c>
      <c r="J505">
        <v>3</v>
      </c>
      <c r="K505" t="s">
        <v>55</v>
      </c>
      <c r="L505" t="s">
        <v>59</v>
      </c>
      <c r="M505" t="s">
        <v>52</v>
      </c>
    </row>
    <row r="506" spans="1:13" x14ac:dyDescent="0.35">
      <c r="A506">
        <v>513</v>
      </c>
      <c r="B506">
        <v>30</v>
      </c>
      <c r="C506" s="1" t="s">
        <v>10</v>
      </c>
      <c r="D506" s="1" t="s">
        <v>20</v>
      </c>
      <c r="E506" s="1" t="s">
        <v>21</v>
      </c>
      <c r="F506">
        <v>500</v>
      </c>
      <c r="G506">
        <v>35</v>
      </c>
      <c r="H506" s="1" t="s">
        <v>13</v>
      </c>
      <c r="I506" s="1" t="s">
        <v>14</v>
      </c>
      <c r="J506">
        <v>5</v>
      </c>
      <c r="K506" t="s">
        <v>53</v>
      </c>
      <c r="L506" t="s">
        <v>59</v>
      </c>
      <c r="M506" t="s">
        <v>51</v>
      </c>
    </row>
    <row r="507" spans="1:13" x14ac:dyDescent="0.35">
      <c r="A507">
        <v>514</v>
      </c>
      <c r="B507">
        <v>70</v>
      </c>
      <c r="C507" s="1" t="s">
        <v>15</v>
      </c>
      <c r="D507" s="1" t="s">
        <v>22</v>
      </c>
      <c r="E507" s="1" t="s">
        <v>23</v>
      </c>
      <c r="F507">
        <v>10000</v>
      </c>
      <c r="G507">
        <v>42</v>
      </c>
      <c r="H507" s="1" t="s">
        <v>18</v>
      </c>
      <c r="I507" s="1" t="s">
        <v>19</v>
      </c>
      <c r="J507">
        <v>2</v>
      </c>
      <c r="K507" t="s">
        <v>55</v>
      </c>
      <c r="L507" t="s">
        <v>59</v>
      </c>
      <c r="M507" t="s">
        <v>57</v>
      </c>
    </row>
    <row r="508" spans="1:13" x14ac:dyDescent="0.35">
      <c r="A508">
        <v>515</v>
      </c>
      <c r="B508">
        <v>55</v>
      </c>
      <c r="C508" s="1" t="s">
        <v>10</v>
      </c>
      <c r="D508" s="1" t="s">
        <v>24</v>
      </c>
      <c r="E508" s="1" t="s">
        <v>25</v>
      </c>
      <c r="F508">
        <v>25000</v>
      </c>
      <c r="G508">
        <v>44</v>
      </c>
      <c r="H508" s="1" t="s">
        <v>13</v>
      </c>
      <c r="I508" s="1" t="s">
        <v>14</v>
      </c>
      <c r="J508">
        <v>4</v>
      </c>
      <c r="K508" t="s">
        <v>49</v>
      </c>
      <c r="L508" t="s">
        <v>59</v>
      </c>
      <c r="M508" t="s">
        <v>51</v>
      </c>
    </row>
    <row r="509" spans="1:13" x14ac:dyDescent="0.35">
      <c r="A509">
        <v>516</v>
      </c>
      <c r="B509">
        <v>68</v>
      </c>
      <c r="C509" s="1" t="s">
        <v>15</v>
      </c>
      <c r="D509" s="1" t="s">
        <v>26</v>
      </c>
      <c r="E509" s="1" t="s">
        <v>27</v>
      </c>
      <c r="F509">
        <v>1000</v>
      </c>
      <c r="G509">
        <v>36</v>
      </c>
      <c r="H509" s="1" t="s">
        <v>13</v>
      </c>
      <c r="I509" s="1" t="s">
        <v>19</v>
      </c>
      <c r="J509">
        <v>4</v>
      </c>
      <c r="K509" t="s">
        <v>55</v>
      </c>
      <c r="L509" t="s">
        <v>59</v>
      </c>
      <c r="M509" t="s">
        <v>51</v>
      </c>
    </row>
    <row r="510" spans="1:13" x14ac:dyDescent="0.35">
      <c r="A510">
        <v>517</v>
      </c>
      <c r="B510">
        <v>45</v>
      </c>
      <c r="C510" s="1" t="s">
        <v>10</v>
      </c>
      <c r="D510" s="1" t="s">
        <v>28</v>
      </c>
      <c r="E510" s="1" t="s">
        <v>29</v>
      </c>
      <c r="F510">
        <v>8000</v>
      </c>
      <c r="G510">
        <v>38</v>
      </c>
      <c r="H510" s="1" t="s">
        <v>13</v>
      </c>
      <c r="I510" s="1" t="s">
        <v>14</v>
      </c>
      <c r="J510">
        <v>3</v>
      </c>
      <c r="K510" t="s">
        <v>49</v>
      </c>
      <c r="L510" t="s">
        <v>59</v>
      </c>
      <c r="M510" t="s">
        <v>52</v>
      </c>
    </row>
    <row r="511" spans="1:13" x14ac:dyDescent="0.35">
      <c r="A511">
        <v>518</v>
      </c>
      <c r="B511">
        <v>40</v>
      </c>
      <c r="C511" s="1" t="s">
        <v>15</v>
      </c>
      <c r="D511" s="1" t="s">
        <v>30</v>
      </c>
      <c r="E511" s="1" t="s">
        <v>31</v>
      </c>
      <c r="F511">
        <v>3000</v>
      </c>
      <c r="G511">
        <v>40</v>
      </c>
      <c r="H511" s="1" t="s">
        <v>13</v>
      </c>
      <c r="I511" s="1" t="s">
        <v>14</v>
      </c>
      <c r="J511">
        <v>4</v>
      </c>
      <c r="K511" t="s">
        <v>49</v>
      </c>
      <c r="L511" t="s">
        <v>59</v>
      </c>
      <c r="M511" t="s">
        <v>51</v>
      </c>
    </row>
    <row r="512" spans="1:13" x14ac:dyDescent="0.35">
      <c r="A512">
        <v>519</v>
      </c>
      <c r="B512">
        <v>78</v>
      </c>
      <c r="C512" s="1" t="s">
        <v>10</v>
      </c>
      <c r="D512" s="1" t="s">
        <v>32</v>
      </c>
      <c r="E512" s="1" t="s">
        <v>33</v>
      </c>
      <c r="F512">
        <v>18000</v>
      </c>
      <c r="G512">
        <v>42</v>
      </c>
      <c r="H512" s="1" t="s">
        <v>18</v>
      </c>
      <c r="I512" s="1" t="s">
        <v>19</v>
      </c>
      <c r="J512">
        <v>2</v>
      </c>
      <c r="K512" t="s">
        <v>55</v>
      </c>
      <c r="L512" t="s">
        <v>59</v>
      </c>
      <c r="M512" t="s">
        <v>57</v>
      </c>
    </row>
    <row r="513" spans="1:13" x14ac:dyDescent="0.35">
      <c r="A513">
        <v>520</v>
      </c>
      <c r="B513">
        <v>25</v>
      </c>
      <c r="C513" s="1" t="s">
        <v>15</v>
      </c>
      <c r="D513" s="1" t="s">
        <v>34</v>
      </c>
      <c r="E513" s="1" t="s">
        <v>35</v>
      </c>
      <c r="F513">
        <v>100</v>
      </c>
      <c r="G513">
        <v>35</v>
      </c>
      <c r="H513" s="1" t="s">
        <v>13</v>
      </c>
      <c r="I513" s="1" t="s">
        <v>14</v>
      </c>
      <c r="J513">
        <v>5</v>
      </c>
      <c r="K513" t="s">
        <v>53</v>
      </c>
      <c r="L513" t="s">
        <v>59</v>
      </c>
      <c r="M513" t="s">
        <v>51</v>
      </c>
    </row>
    <row r="514" spans="1:13" x14ac:dyDescent="0.35">
      <c r="A514">
        <v>521</v>
      </c>
      <c r="B514">
        <v>52</v>
      </c>
      <c r="C514" s="1" t="s">
        <v>10</v>
      </c>
      <c r="D514" s="1" t="s">
        <v>36</v>
      </c>
      <c r="E514" s="1" t="s">
        <v>37</v>
      </c>
      <c r="F514">
        <v>800</v>
      </c>
      <c r="G514">
        <v>36</v>
      </c>
      <c r="H514" s="1" t="s">
        <v>13</v>
      </c>
      <c r="I514" s="1" t="s">
        <v>19</v>
      </c>
      <c r="J514">
        <v>4</v>
      </c>
      <c r="K514" t="s">
        <v>49</v>
      </c>
      <c r="L514" t="s">
        <v>59</v>
      </c>
      <c r="M514" t="s">
        <v>51</v>
      </c>
    </row>
    <row r="515" spans="1:13" x14ac:dyDescent="0.35">
      <c r="A515">
        <v>522</v>
      </c>
      <c r="B515">
        <v>58</v>
      </c>
      <c r="C515" s="1" t="s">
        <v>15</v>
      </c>
      <c r="D515" s="1" t="s">
        <v>38</v>
      </c>
      <c r="E515" s="1" t="s">
        <v>39</v>
      </c>
      <c r="F515">
        <v>20000</v>
      </c>
      <c r="G515">
        <v>43</v>
      </c>
      <c r="H515" s="1" t="s">
        <v>13</v>
      </c>
      <c r="I515" s="1" t="s">
        <v>14</v>
      </c>
      <c r="J515">
        <v>3</v>
      </c>
      <c r="K515" t="s">
        <v>49</v>
      </c>
      <c r="L515" t="s">
        <v>59</v>
      </c>
      <c r="M515" t="s">
        <v>52</v>
      </c>
    </row>
    <row r="516" spans="1:13" x14ac:dyDescent="0.35">
      <c r="A516">
        <v>523</v>
      </c>
      <c r="B516">
        <v>32</v>
      </c>
      <c r="C516" s="1" t="s">
        <v>10</v>
      </c>
      <c r="D516" s="1" t="s">
        <v>40</v>
      </c>
      <c r="E516" s="1" t="s">
        <v>41</v>
      </c>
      <c r="F516">
        <v>12000</v>
      </c>
      <c r="G516">
        <v>37</v>
      </c>
      <c r="H516" s="1" t="s">
        <v>13</v>
      </c>
      <c r="I516" s="1" t="s">
        <v>14</v>
      </c>
      <c r="J516">
        <v>4</v>
      </c>
      <c r="K516" t="s">
        <v>53</v>
      </c>
      <c r="L516" t="s">
        <v>59</v>
      </c>
      <c r="M516" t="s">
        <v>51</v>
      </c>
    </row>
    <row r="517" spans="1:13" x14ac:dyDescent="0.35">
      <c r="A517">
        <v>524</v>
      </c>
      <c r="B517">
        <v>55</v>
      </c>
      <c r="C517" s="1" t="s">
        <v>15</v>
      </c>
      <c r="D517" s="1" t="s">
        <v>42</v>
      </c>
      <c r="E517" s="1" t="s">
        <v>43</v>
      </c>
      <c r="F517">
        <v>6000</v>
      </c>
      <c r="G517">
        <v>38</v>
      </c>
      <c r="H517" s="1" t="s">
        <v>13</v>
      </c>
      <c r="I517" s="1" t="s">
        <v>14</v>
      </c>
      <c r="J517">
        <v>3</v>
      </c>
      <c r="K517" t="s">
        <v>49</v>
      </c>
      <c r="L517" t="s">
        <v>59</v>
      </c>
      <c r="M517" t="s">
        <v>52</v>
      </c>
    </row>
    <row r="518" spans="1:13" x14ac:dyDescent="0.35">
      <c r="A518">
        <v>525</v>
      </c>
      <c r="B518">
        <v>65</v>
      </c>
      <c r="C518" s="1" t="s">
        <v>10</v>
      </c>
      <c r="D518" s="1" t="s">
        <v>44</v>
      </c>
      <c r="E518" s="1" t="s">
        <v>45</v>
      </c>
      <c r="F518">
        <v>4000</v>
      </c>
      <c r="G518">
        <v>39</v>
      </c>
      <c r="H518" s="1" t="s">
        <v>13</v>
      </c>
      <c r="I518" s="1" t="s">
        <v>19</v>
      </c>
      <c r="J518">
        <v>4</v>
      </c>
      <c r="K518" t="s">
        <v>55</v>
      </c>
      <c r="L518" t="s">
        <v>59</v>
      </c>
      <c r="M518" t="s">
        <v>51</v>
      </c>
    </row>
    <row r="519" spans="1:13" x14ac:dyDescent="0.35">
      <c r="A519">
        <v>526</v>
      </c>
      <c r="B519">
        <v>55</v>
      </c>
      <c r="C519" s="1" t="s">
        <v>10</v>
      </c>
      <c r="D519" s="1" t="s">
        <v>11</v>
      </c>
      <c r="E519" s="1" t="s">
        <v>12</v>
      </c>
      <c r="F519">
        <v>15000</v>
      </c>
      <c r="G519">
        <v>40</v>
      </c>
      <c r="H519" s="1" t="s">
        <v>18</v>
      </c>
      <c r="I519" s="1" t="s">
        <v>14</v>
      </c>
      <c r="J519">
        <v>3</v>
      </c>
      <c r="K519" t="s">
        <v>49</v>
      </c>
      <c r="L519" t="s">
        <v>59</v>
      </c>
      <c r="M519" t="s">
        <v>52</v>
      </c>
    </row>
    <row r="520" spans="1:13" x14ac:dyDescent="0.35">
      <c r="A520">
        <v>527</v>
      </c>
      <c r="B520">
        <v>62</v>
      </c>
      <c r="C520" s="1" t="s">
        <v>15</v>
      </c>
      <c r="D520" s="1" t="s">
        <v>16</v>
      </c>
      <c r="E520" s="1" t="s">
        <v>17</v>
      </c>
      <c r="F520">
        <v>2000</v>
      </c>
      <c r="G520">
        <v>38</v>
      </c>
      <c r="H520" s="1" t="s">
        <v>13</v>
      </c>
      <c r="I520" s="1" t="s">
        <v>19</v>
      </c>
      <c r="J520">
        <v>4</v>
      </c>
      <c r="K520" t="s">
        <v>55</v>
      </c>
      <c r="L520" t="s">
        <v>59</v>
      </c>
      <c r="M520" t="s">
        <v>51</v>
      </c>
    </row>
    <row r="521" spans="1:13" x14ac:dyDescent="0.35">
      <c r="A521">
        <v>528</v>
      </c>
      <c r="B521">
        <v>35</v>
      </c>
      <c r="C521" s="1" t="s">
        <v>10</v>
      </c>
      <c r="D521" s="1" t="s">
        <v>20</v>
      </c>
      <c r="E521" s="1" t="s">
        <v>21</v>
      </c>
      <c r="F521">
        <v>500</v>
      </c>
      <c r="G521">
        <v>36</v>
      </c>
      <c r="H521" s="1" t="s">
        <v>18</v>
      </c>
      <c r="I521" s="1" t="s">
        <v>14</v>
      </c>
      <c r="J521">
        <v>5</v>
      </c>
      <c r="K521" t="s">
        <v>53</v>
      </c>
      <c r="L521" t="s">
        <v>59</v>
      </c>
      <c r="M521" t="s">
        <v>51</v>
      </c>
    </row>
    <row r="522" spans="1:13" x14ac:dyDescent="0.35">
      <c r="A522">
        <v>529</v>
      </c>
      <c r="B522">
        <v>78</v>
      </c>
      <c r="C522" s="1" t="s">
        <v>15</v>
      </c>
      <c r="D522" s="1" t="s">
        <v>22</v>
      </c>
      <c r="E522" s="1" t="s">
        <v>23</v>
      </c>
      <c r="F522">
        <v>10000</v>
      </c>
      <c r="G522">
        <v>43</v>
      </c>
      <c r="H522" s="1" t="s">
        <v>13</v>
      </c>
      <c r="I522" s="1" t="s">
        <v>19</v>
      </c>
      <c r="J522">
        <v>2</v>
      </c>
      <c r="K522" t="s">
        <v>55</v>
      </c>
      <c r="L522" t="s">
        <v>59</v>
      </c>
      <c r="M522" t="s">
        <v>57</v>
      </c>
    </row>
    <row r="523" spans="1:13" x14ac:dyDescent="0.35">
      <c r="A523">
        <v>530</v>
      </c>
      <c r="B523">
        <v>53</v>
      </c>
      <c r="C523" s="1" t="s">
        <v>10</v>
      </c>
      <c r="D523" s="1" t="s">
        <v>24</v>
      </c>
      <c r="E523" s="1" t="s">
        <v>25</v>
      </c>
      <c r="F523">
        <v>25000</v>
      </c>
      <c r="G523">
        <v>45</v>
      </c>
      <c r="H523" s="1" t="s">
        <v>18</v>
      </c>
      <c r="I523" s="1" t="s">
        <v>14</v>
      </c>
      <c r="J523">
        <v>4</v>
      </c>
      <c r="K523" t="s">
        <v>49</v>
      </c>
      <c r="L523" t="s">
        <v>59</v>
      </c>
      <c r="M523" t="s">
        <v>51</v>
      </c>
    </row>
    <row r="524" spans="1:13" x14ac:dyDescent="0.35">
      <c r="A524">
        <v>531</v>
      </c>
      <c r="B524">
        <v>72</v>
      </c>
      <c r="C524" s="1" t="s">
        <v>15</v>
      </c>
      <c r="D524" s="1" t="s">
        <v>26</v>
      </c>
      <c r="E524" s="1" t="s">
        <v>27</v>
      </c>
      <c r="F524">
        <v>1000</v>
      </c>
      <c r="G524">
        <v>38</v>
      </c>
      <c r="H524" s="1" t="s">
        <v>13</v>
      </c>
      <c r="I524" s="1" t="s">
        <v>19</v>
      </c>
      <c r="J524">
        <v>4</v>
      </c>
      <c r="K524" t="s">
        <v>55</v>
      </c>
      <c r="L524" t="s">
        <v>59</v>
      </c>
      <c r="M524" t="s">
        <v>51</v>
      </c>
    </row>
    <row r="525" spans="1:13" x14ac:dyDescent="0.35">
      <c r="A525">
        <v>532</v>
      </c>
      <c r="B525">
        <v>60</v>
      </c>
      <c r="C525" s="1" t="s">
        <v>10</v>
      </c>
      <c r="D525" s="1" t="s">
        <v>28</v>
      </c>
      <c r="E525" s="1" t="s">
        <v>29</v>
      </c>
      <c r="F525">
        <v>8000</v>
      </c>
      <c r="G525">
        <v>39</v>
      </c>
      <c r="H525" s="1" t="s">
        <v>18</v>
      </c>
      <c r="I525" s="1" t="s">
        <v>14</v>
      </c>
      <c r="J525">
        <v>3</v>
      </c>
      <c r="K525" t="s">
        <v>49</v>
      </c>
      <c r="L525" t="s">
        <v>59</v>
      </c>
      <c r="M525" t="s">
        <v>52</v>
      </c>
    </row>
    <row r="526" spans="1:13" x14ac:dyDescent="0.35">
      <c r="A526">
        <v>533</v>
      </c>
      <c r="B526">
        <v>45</v>
      </c>
      <c r="C526" s="1" t="s">
        <v>15</v>
      </c>
      <c r="D526" s="1" t="s">
        <v>30</v>
      </c>
      <c r="E526" s="1" t="s">
        <v>31</v>
      </c>
      <c r="F526">
        <v>3000</v>
      </c>
      <c r="G526">
        <v>41</v>
      </c>
      <c r="H526" s="1" t="s">
        <v>13</v>
      </c>
      <c r="I526" s="1" t="s">
        <v>14</v>
      </c>
      <c r="J526">
        <v>4</v>
      </c>
      <c r="K526" t="s">
        <v>49</v>
      </c>
      <c r="L526" t="s">
        <v>59</v>
      </c>
      <c r="M526" t="s">
        <v>51</v>
      </c>
    </row>
    <row r="527" spans="1:13" x14ac:dyDescent="0.35">
      <c r="A527">
        <v>534</v>
      </c>
      <c r="B527">
        <v>75</v>
      </c>
      <c r="C527" s="1" t="s">
        <v>10</v>
      </c>
      <c r="D527" s="1" t="s">
        <v>32</v>
      </c>
      <c r="E527" s="1" t="s">
        <v>33</v>
      </c>
      <c r="F527">
        <v>18000</v>
      </c>
      <c r="G527">
        <v>43</v>
      </c>
      <c r="H527" s="1" t="s">
        <v>18</v>
      </c>
      <c r="I527" s="1" t="s">
        <v>19</v>
      </c>
      <c r="J527">
        <v>2</v>
      </c>
      <c r="K527" t="s">
        <v>55</v>
      </c>
      <c r="L527" t="s">
        <v>59</v>
      </c>
      <c r="M527" t="s">
        <v>57</v>
      </c>
    </row>
    <row r="528" spans="1:13" x14ac:dyDescent="0.35">
      <c r="A528">
        <v>535</v>
      </c>
      <c r="B528">
        <v>28</v>
      </c>
      <c r="C528" s="1" t="s">
        <v>15</v>
      </c>
      <c r="D528" s="1" t="s">
        <v>34</v>
      </c>
      <c r="E528" s="1" t="s">
        <v>35</v>
      </c>
      <c r="F528">
        <v>100</v>
      </c>
      <c r="G528">
        <v>36</v>
      </c>
      <c r="H528" s="1" t="s">
        <v>13</v>
      </c>
      <c r="I528" s="1" t="s">
        <v>14</v>
      </c>
      <c r="J528">
        <v>5</v>
      </c>
      <c r="K528" t="s">
        <v>53</v>
      </c>
      <c r="L528" t="s">
        <v>59</v>
      </c>
      <c r="M528" t="s">
        <v>51</v>
      </c>
    </row>
    <row r="529" spans="1:13" x14ac:dyDescent="0.35">
      <c r="A529">
        <v>536</v>
      </c>
      <c r="B529">
        <v>52</v>
      </c>
      <c r="C529" s="1" t="s">
        <v>10</v>
      </c>
      <c r="D529" s="1" t="s">
        <v>36</v>
      </c>
      <c r="E529" s="1" t="s">
        <v>37</v>
      </c>
      <c r="F529">
        <v>800</v>
      </c>
      <c r="G529">
        <v>37</v>
      </c>
      <c r="H529" s="1" t="s">
        <v>13</v>
      </c>
      <c r="I529" s="1" t="s">
        <v>19</v>
      </c>
      <c r="J529">
        <v>4</v>
      </c>
      <c r="K529" t="s">
        <v>49</v>
      </c>
      <c r="L529" t="s">
        <v>59</v>
      </c>
      <c r="M529" t="s">
        <v>51</v>
      </c>
    </row>
    <row r="530" spans="1:13" x14ac:dyDescent="0.35">
      <c r="A530">
        <v>537</v>
      </c>
      <c r="B530">
        <v>67</v>
      </c>
      <c r="C530" s="1" t="s">
        <v>15</v>
      </c>
      <c r="D530" s="1" t="s">
        <v>38</v>
      </c>
      <c r="E530" s="1" t="s">
        <v>39</v>
      </c>
      <c r="F530">
        <v>20000</v>
      </c>
      <c r="G530">
        <v>44</v>
      </c>
      <c r="H530" s="1" t="s">
        <v>13</v>
      </c>
      <c r="I530" s="1" t="s">
        <v>14</v>
      </c>
      <c r="J530">
        <v>3</v>
      </c>
      <c r="K530" t="s">
        <v>55</v>
      </c>
      <c r="L530" t="s">
        <v>59</v>
      </c>
      <c r="M530" t="s">
        <v>52</v>
      </c>
    </row>
    <row r="531" spans="1:13" x14ac:dyDescent="0.35">
      <c r="A531">
        <v>538</v>
      </c>
      <c r="B531">
        <v>35</v>
      </c>
      <c r="C531" s="1" t="s">
        <v>10</v>
      </c>
      <c r="D531" s="1" t="s">
        <v>40</v>
      </c>
      <c r="E531" s="1" t="s">
        <v>41</v>
      </c>
      <c r="F531">
        <v>12000</v>
      </c>
      <c r="G531">
        <v>38</v>
      </c>
      <c r="H531" s="1" t="s">
        <v>13</v>
      </c>
      <c r="I531" s="1" t="s">
        <v>14</v>
      </c>
      <c r="J531">
        <v>4</v>
      </c>
      <c r="K531" t="s">
        <v>53</v>
      </c>
      <c r="L531" t="s">
        <v>59</v>
      </c>
      <c r="M531" t="s">
        <v>51</v>
      </c>
    </row>
    <row r="532" spans="1:13" x14ac:dyDescent="0.35">
      <c r="A532">
        <v>540</v>
      </c>
      <c r="B532">
        <v>60</v>
      </c>
      <c r="C532" s="1" t="s">
        <v>10</v>
      </c>
      <c r="D532" s="1" t="s">
        <v>44</v>
      </c>
      <c r="E532" s="1" t="s">
        <v>45</v>
      </c>
      <c r="F532">
        <v>4000</v>
      </c>
      <c r="G532">
        <v>40</v>
      </c>
      <c r="H532" s="1" t="s">
        <v>13</v>
      </c>
      <c r="I532" s="1" t="s">
        <v>19</v>
      </c>
      <c r="J532">
        <v>4</v>
      </c>
      <c r="K532" t="s">
        <v>49</v>
      </c>
      <c r="L532" t="s">
        <v>59</v>
      </c>
      <c r="M532" t="s">
        <v>51</v>
      </c>
    </row>
    <row r="533" spans="1:13" x14ac:dyDescent="0.35">
      <c r="A533">
        <v>541</v>
      </c>
      <c r="B533">
        <v>48</v>
      </c>
      <c r="C533" s="1" t="s">
        <v>10</v>
      </c>
      <c r="D533" s="1" t="s">
        <v>11</v>
      </c>
      <c r="E533" s="1" t="s">
        <v>12</v>
      </c>
      <c r="F533">
        <v>15000</v>
      </c>
      <c r="G533">
        <v>41</v>
      </c>
      <c r="H533" s="1" t="s">
        <v>18</v>
      </c>
      <c r="I533" s="1" t="s">
        <v>14</v>
      </c>
      <c r="J533">
        <v>4</v>
      </c>
      <c r="K533" t="s">
        <v>49</v>
      </c>
      <c r="L533" t="s">
        <v>59</v>
      </c>
      <c r="M533" t="s">
        <v>51</v>
      </c>
    </row>
    <row r="534" spans="1:13" x14ac:dyDescent="0.35">
      <c r="A534">
        <v>542</v>
      </c>
      <c r="B534">
        <v>65</v>
      </c>
      <c r="C534" s="1" t="s">
        <v>15</v>
      </c>
      <c r="D534" s="1" t="s">
        <v>16</v>
      </c>
      <c r="E534" s="1" t="s">
        <v>17</v>
      </c>
      <c r="F534">
        <v>2000</v>
      </c>
      <c r="G534">
        <v>39</v>
      </c>
      <c r="H534" s="1" t="s">
        <v>13</v>
      </c>
      <c r="I534" s="1" t="s">
        <v>19</v>
      </c>
      <c r="J534">
        <v>3</v>
      </c>
      <c r="K534" t="s">
        <v>55</v>
      </c>
      <c r="L534" t="s">
        <v>59</v>
      </c>
      <c r="M534" t="s">
        <v>52</v>
      </c>
    </row>
    <row r="535" spans="1:13" x14ac:dyDescent="0.35">
      <c r="A535">
        <v>543</v>
      </c>
      <c r="B535">
        <v>30</v>
      </c>
      <c r="C535" s="1" t="s">
        <v>10</v>
      </c>
      <c r="D535" s="1" t="s">
        <v>20</v>
      </c>
      <c r="E535" s="1" t="s">
        <v>21</v>
      </c>
      <c r="F535">
        <v>500</v>
      </c>
      <c r="G535">
        <v>37</v>
      </c>
      <c r="H535" s="1" t="s">
        <v>13</v>
      </c>
      <c r="I535" s="1" t="s">
        <v>14</v>
      </c>
      <c r="J535">
        <v>5</v>
      </c>
      <c r="K535" t="s">
        <v>53</v>
      </c>
      <c r="L535" t="s">
        <v>59</v>
      </c>
      <c r="M535" t="s">
        <v>51</v>
      </c>
    </row>
    <row r="536" spans="1:13" x14ac:dyDescent="0.35">
      <c r="A536">
        <v>544</v>
      </c>
      <c r="B536">
        <v>70</v>
      </c>
      <c r="C536" s="1" t="s">
        <v>15</v>
      </c>
      <c r="D536" s="1" t="s">
        <v>22</v>
      </c>
      <c r="E536" s="1" t="s">
        <v>23</v>
      </c>
      <c r="F536">
        <v>10000</v>
      </c>
      <c r="G536">
        <v>44</v>
      </c>
      <c r="H536" s="1" t="s">
        <v>18</v>
      </c>
      <c r="I536" s="1" t="s">
        <v>19</v>
      </c>
      <c r="J536">
        <v>2</v>
      </c>
      <c r="K536" t="s">
        <v>55</v>
      </c>
      <c r="L536" t="s">
        <v>59</v>
      </c>
      <c r="M536" t="s">
        <v>57</v>
      </c>
    </row>
    <row r="537" spans="1:13" x14ac:dyDescent="0.35">
      <c r="A537">
        <v>545</v>
      </c>
      <c r="B537">
        <v>55</v>
      </c>
      <c r="C537" s="1" t="s">
        <v>10</v>
      </c>
      <c r="D537" s="1" t="s">
        <v>24</v>
      </c>
      <c r="E537" s="1" t="s">
        <v>25</v>
      </c>
      <c r="F537">
        <v>25000</v>
      </c>
      <c r="G537">
        <v>46</v>
      </c>
      <c r="H537" s="1" t="s">
        <v>13</v>
      </c>
      <c r="I537" s="1" t="s">
        <v>14</v>
      </c>
      <c r="J537">
        <v>4</v>
      </c>
      <c r="K537" t="s">
        <v>49</v>
      </c>
      <c r="L537" t="s">
        <v>59</v>
      </c>
      <c r="M537" t="s">
        <v>51</v>
      </c>
    </row>
    <row r="538" spans="1:13" x14ac:dyDescent="0.35">
      <c r="A538">
        <v>546</v>
      </c>
      <c r="B538">
        <v>68</v>
      </c>
      <c r="C538" s="1" t="s">
        <v>15</v>
      </c>
      <c r="D538" s="1" t="s">
        <v>26</v>
      </c>
      <c r="E538" s="1" t="s">
        <v>27</v>
      </c>
      <c r="F538">
        <v>1000</v>
      </c>
      <c r="G538">
        <v>40</v>
      </c>
      <c r="H538" s="1" t="s">
        <v>13</v>
      </c>
      <c r="I538" s="1" t="s">
        <v>19</v>
      </c>
      <c r="J538">
        <v>4</v>
      </c>
      <c r="K538" t="s">
        <v>55</v>
      </c>
      <c r="L538" t="s">
        <v>59</v>
      </c>
      <c r="M538" t="s">
        <v>51</v>
      </c>
    </row>
    <row r="539" spans="1:13" x14ac:dyDescent="0.35">
      <c r="A539">
        <v>547</v>
      </c>
      <c r="B539">
        <v>45</v>
      </c>
      <c r="C539" s="1" t="s">
        <v>10</v>
      </c>
      <c r="D539" s="1" t="s">
        <v>28</v>
      </c>
      <c r="E539" s="1" t="s">
        <v>29</v>
      </c>
      <c r="F539">
        <v>8000</v>
      </c>
      <c r="G539">
        <v>42</v>
      </c>
      <c r="H539" s="1" t="s">
        <v>13</v>
      </c>
      <c r="I539" s="1" t="s">
        <v>14</v>
      </c>
      <c r="J539">
        <v>3</v>
      </c>
      <c r="K539" t="s">
        <v>49</v>
      </c>
      <c r="L539" t="s">
        <v>59</v>
      </c>
      <c r="M539" t="s">
        <v>52</v>
      </c>
    </row>
    <row r="540" spans="1:13" x14ac:dyDescent="0.35">
      <c r="A540">
        <v>548</v>
      </c>
      <c r="B540">
        <v>40</v>
      </c>
      <c r="C540" s="1" t="s">
        <v>15</v>
      </c>
      <c r="D540" s="1" t="s">
        <v>30</v>
      </c>
      <c r="E540" s="1" t="s">
        <v>31</v>
      </c>
      <c r="F540">
        <v>3000</v>
      </c>
      <c r="G540">
        <v>42</v>
      </c>
      <c r="H540" s="1" t="s">
        <v>13</v>
      </c>
      <c r="I540" s="1" t="s">
        <v>14</v>
      </c>
      <c r="J540">
        <v>4</v>
      </c>
      <c r="K540" t="s">
        <v>49</v>
      </c>
      <c r="L540" t="s">
        <v>59</v>
      </c>
      <c r="M540" t="s">
        <v>51</v>
      </c>
    </row>
    <row r="541" spans="1:13" x14ac:dyDescent="0.35">
      <c r="A541">
        <v>549</v>
      </c>
      <c r="B541">
        <v>78</v>
      </c>
      <c r="C541" s="1" t="s">
        <v>10</v>
      </c>
      <c r="D541" s="1" t="s">
        <v>32</v>
      </c>
      <c r="E541" s="1" t="s">
        <v>33</v>
      </c>
      <c r="F541">
        <v>18000</v>
      </c>
      <c r="G541">
        <v>44</v>
      </c>
      <c r="H541" s="1" t="s">
        <v>18</v>
      </c>
      <c r="I541" s="1" t="s">
        <v>19</v>
      </c>
      <c r="J541">
        <v>2</v>
      </c>
      <c r="K541" t="s">
        <v>55</v>
      </c>
      <c r="L541" t="s">
        <v>59</v>
      </c>
      <c r="M541" t="s">
        <v>57</v>
      </c>
    </row>
    <row r="542" spans="1:13" x14ac:dyDescent="0.35">
      <c r="A542">
        <v>550</v>
      </c>
      <c r="B542">
        <v>25</v>
      </c>
      <c r="C542" s="1" t="s">
        <v>15</v>
      </c>
      <c r="D542" s="1" t="s">
        <v>34</v>
      </c>
      <c r="E542" s="1" t="s">
        <v>35</v>
      </c>
      <c r="F542">
        <v>100</v>
      </c>
      <c r="G542">
        <v>37</v>
      </c>
      <c r="H542" s="1" t="s">
        <v>13</v>
      </c>
      <c r="I542" s="1" t="s">
        <v>14</v>
      </c>
      <c r="J542">
        <v>5</v>
      </c>
      <c r="K542" t="s">
        <v>53</v>
      </c>
      <c r="L542" t="s">
        <v>59</v>
      </c>
      <c r="M542" t="s">
        <v>51</v>
      </c>
    </row>
    <row r="543" spans="1:13" x14ac:dyDescent="0.35">
      <c r="A543">
        <v>551</v>
      </c>
      <c r="B543">
        <v>52</v>
      </c>
      <c r="C543" s="1" t="s">
        <v>10</v>
      </c>
      <c r="D543" s="1" t="s">
        <v>36</v>
      </c>
      <c r="E543" s="1" t="s">
        <v>37</v>
      </c>
      <c r="F543">
        <v>800</v>
      </c>
      <c r="G543">
        <v>38</v>
      </c>
      <c r="H543" s="1" t="s">
        <v>13</v>
      </c>
      <c r="I543" s="1" t="s">
        <v>19</v>
      </c>
      <c r="J543">
        <v>4</v>
      </c>
      <c r="K543" t="s">
        <v>49</v>
      </c>
      <c r="L543" t="s">
        <v>59</v>
      </c>
      <c r="M543" t="s">
        <v>51</v>
      </c>
    </row>
    <row r="544" spans="1:13" x14ac:dyDescent="0.35">
      <c r="A544">
        <v>552</v>
      </c>
      <c r="B544">
        <v>58</v>
      </c>
      <c r="C544" s="1" t="s">
        <v>15</v>
      </c>
      <c r="D544" s="1" t="s">
        <v>38</v>
      </c>
      <c r="E544" s="1" t="s">
        <v>39</v>
      </c>
      <c r="F544">
        <v>20000</v>
      </c>
      <c r="G544">
        <v>45</v>
      </c>
      <c r="H544" s="1" t="s">
        <v>13</v>
      </c>
      <c r="I544" s="1" t="s">
        <v>14</v>
      </c>
      <c r="J544">
        <v>3</v>
      </c>
      <c r="K544" t="s">
        <v>49</v>
      </c>
      <c r="L544" t="s">
        <v>59</v>
      </c>
      <c r="M544" t="s">
        <v>52</v>
      </c>
    </row>
    <row r="545" spans="1:13" x14ac:dyDescent="0.35">
      <c r="A545">
        <v>553</v>
      </c>
      <c r="B545">
        <v>32</v>
      </c>
      <c r="C545" s="1" t="s">
        <v>10</v>
      </c>
      <c r="D545" s="1" t="s">
        <v>40</v>
      </c>
      <c r="E545" s="1" t="s">
        <v>41</v>
      </c>
      <c r="F545">
        <v>12000</v>
      </c>
      <c r="G545">
        <v>39</v>
      </c>
      <c r="H545" s="1" t="s">
        <v>13</v>
      </c>
      <c r="I545" s="1" t="s">
        <v>14</v>
      </c>
      <c r="J545">
        <v>4</v>
      </c>
      <c r="K545" t="s">
        <v>53</v>
      </c>
      <c r="L545" t="s">
        <v>59</v>
      </c>
      <c r="M545" t="s">
        <v>51</v>
      </c>
    </row>
    <row r="546" spans="1:13" x14ac:dyDescent="0.35">
      <c r="A546">
        <v>554</v>
      </c>
      <c r="B546">
        <v>55</v>
      </c>
      <c r="C546" s="1" t="s">
        <v>15</v>
      </c>
      <c r="D546" s="1" t="s">
        <v>42</v>
      </c>
      <c r="E546" s="1" t="s">
        <v>43</v>
      </c>
      <c r="F546">
        <v>6000</v>
      </c>
      <c r="G546">
        <v>40</v>
      </c>
      <c r="H546" s="1" t="s">
        <v>13</v>
      </c>
      <c r="I546" s="1" t="s">
        <v>14</v>
      </c>
      <c r="J546">
        <v>3</v>
      </c>
      <c r="K546" t="s">
        <v>49</v>
      </c>
      <c r="L546" t="s">
        <v>59</v>
      </c>
      <c r="M546" t="s">
        <v>52</v>
      </c>
    </row>
    <row r="547" spans="1:13" x14ac:dyDescent="0.35">
      <c r="A547">
        <v>555</v>
      </c>
      <c r="B547">
        <v>65</v>
      </c>
      <c r="C547" s="1" t="s">
        <v>10</v>
      </c>
      <c r="D547" s="1" t="s">
        <v>44</v>
      </c>
      <c r="E547" s="1" t="s">
        <v>45</v>
      </c>
      <c r="F547">
        <v>4000</v>
      </c>
      <c r="G547">
        <v>41</v>
      </c>
      <c r="H547" s="1" t="s">
        <v>13</v>
      </c>
      <c r="I547" s="1" t="s">
        <v>19</v>
      </c>
      <c r="J547">
        <v>4</v>
      </c>
      <c r="K547" t="s">
        <v>55</v>
      </c>
      <c r="L547" t="s">
        <v>59</v>
      </c>
      <c r="M547" t="s">
        <v>51</v>
      </c>
    </row>
    <row r="548" spans="1:13" x14ac:dyDescent="0.35">
      <c r="A548">
        <v>556</v>
      </c>
      <c r="B548">
        <v>55</v>
      </c>
      <c r="C548" s="1" t="s">
        <v>10</v>
      </c>
      <c r="D548" s="1" t="s">
        <v>11</v>
      </c>
      <c r="E548" s="1" t="s">
        <v>12</v>
      </c>
      <c r="F548">
        <v>15000</v>
      </c>
      <c r="G548">
        <v>42</v>
      </c>
      <c r="H548" s="1" t="s">
        <v>18</v>
      </c>
      <c r="I548" s="1" t="s">
        <v>14</v>
      </c>
      <c r="J548">
        <v>3</v>
      </c>
      <c r="K548" t="s">
        <v>49</v>
      </c>
      <c r="L548" t="s">
        <v>59</v>
      </c>
      <c r="M548" t="s">
        <v>52</v>
      </c>
    </row>
    <row r="549" spans="1:13" x14ac:dyDescent="0.35">
      <c r="A549">
        <v>557</v>
      </c>
      <c r="B549">
        <v>62</v>
      </c>
      <c r="C549" s="1" t="s">
        <v>15</v>
      </c>
      <c r="D549" s="1" t="s">
        <v>16</v>
      </c>
      <c r="E549" s="1" t="s">
        <v>17</v>
      </c>
      <c r="F549">
        <v>2000</v>
      </c>
      <c r="G549">
        <v>40</v>
      </c>
      <c r="H549" s="1" t="s">
        <v>13</v>
      </c>
      <c r="I549" s="1" t="s">
        <v>19</v>
      </c>
      <c r="J549">
        <v>4</v>
      </c>
      <c r="K549" t="s">
        <v>55</v>
      </c>
      <c r="L549" t="s">
        <v>59</v>
      </c>
      <c r="M549" t="s">
        <v>51</v>
      </c>
    </row>
    <row r="550" spans="1:13" x14ac:dyDescent="0.35">
      <c r="A550">
        <v>558</v>
      </c>
      <c r="B550">
        <v>35</v>
      </c>
      <c r="C550" s="1" t="s">
        <v>10</v>
      </c>
      <c r="D550" s="1" t="s">
        <v>20</v>
      </c>
      <c r="E550" s="1" t="s">
        <v>21</v>
      </c>
      <c r="F550">
        <v>500</v>
      </c>
      <c r="G550">
        <v>38</v>
      </c>
      <c r="H550" s="1" t="s">
        <v>18</v>
      </c>
      <c r="I550" s="1" t="s">
        <v>14</v>
      </c>
      <c r="J550">
        <v>5</v>
      </c>
      <c r="K550" t="s">
        <v>53</v>
      </c>
      <c r="L550" t="s">
        <v>59</v>
      </c>
      <c r="M550" t="s">
        <v>51</v>
      </c>
    </row>
    <row r="551" spans="1:13" x14ac:dyDescent="0.35">
      <c r="A551">
        <v>559</v>
      </c>
      <c r="B551">
        <v>78</v>
      </c>
      <c r="C551" s="1" t="s">
        <v>15</v>
      </c>
      <c r="D551" s="1" t="s">
        <v>22</v>
      </c>
      <c r="E551" s="1" t="s">
        <v>23</v>
      </c>
      <c r="F551">
        <v>10000</v>
      </c>
      <c r="G551">
        <v>45</v>
      </c>
      <c r="H551" s="1" t="s">
        <v>13</v>
      </c>
      <c r="I551" s="1" t="s">
        <v>19</v>
      </c>
      <c r="J551">
        <v>2</v>
      </c>
      <c r="K551" t="s">
        <v>55</v>
      </c>
      <c r="L551" t="s">
        <v>59</v>
      </c>
      <c r="M551" t="s">
        <v>57</v>
      </c>
    </row>
    <row r="552" spans="1:13" x14ac:dyDescent="0.35">
      <c r="A552">
        <v>560</v>
      </c>
      <c r="B552">
        <v>53</v>
      </c>
      <c r="C552" s="1" t="s">
        <v>10</v>
      </c>
      <c r="D552" s="1" t="s">
        <v>24</v>
      </c>
      <c r="E552" s="1" t="s">
        <v>25</v>
      </c>
      <c r="F552">
        <v>25000</v>
      </c>
      <c r="G552">
        <v>47</v>
      </c>
      <c r="H552" s="1" t="s">
        <v>18</v>
      </c>
      <c r="I552" s="1" t="s">
        <v>14</v>
      </c>
      <c r="J552">
        <v>4</v>
      </c>
      <c r="K552" t="s">
        <v>49</v>
      </c>
      <c r="L552" t="s">
        <v>59</v>
      </c>
      <c r="M552" t="s">
        <v>51</v>
      </c>
    </row>
    <row r="553" spans="1:13" x14ac:dyDescent="0.35">
      <c r="A553">
        <v>561</v>
      </c>
      <c r="B553">
        <v>72</v>
      </c>
      <c r="C553" s="1" t="s">
        <v>15</v>
      </c>
      <c r="D553" s="1" t="s">
        <v>26</v>
      </c>
      <c r="E553" s="1" t="s">
        <v>27</v>
      </c>
      <c r="F553">
        <v>1000</v>
      </c>
      <c r="G553">
        <v>41</v>
      </c>
      <c r="H553" s="1" t="s">
        <v>13</v>
      </c>
      <c r="I553" s="1" t="s">
        <v>19</v>
      </c>
      <c r="J553">
        <v>4</v>
      </c>
      <c r="K553" t="s">
        <v>55</v>
      </c>
      <c r="L553" t="s">
        <v>59</v>
      </c>
      <c r="M553" t="s">
        <v>51</v>
      </c>
    </row>
    <row r="554" spans="1:13" x14ac:dyDescent="0.35">
      <c r="A554">
        <v>562</v>
      </c>
      <c r="B554">
        <v>60</v>
      </c>
      <c r="C554" s="1" t="s">
        <v>10</v>
      </c>
      <c r="D554" s="1" t="s">
        <v>28</v>
      </c>
      <c r="E554" s="1" t="s">
        <v>29</v>
      </c>
      <c r="F554">
        <v>8000</v>
      </c>
      <c r="G554">
        <v>43</v>
      </c>
      <c r="H554" s="1" t="s">
        <v>18</v>
      </c>
      <c r="I554" s="1" t="s">
        <v>14</v>
      </c>
      <c r="J554">
        <v>3</v>
      </c>
      <c r="K554" t="s">
        <v>49</v>
      </c>
      <c r="L554" t="s">
        <v>59</v>
      </c>
      <c r="M554" t="s">
        <v>52</v>
      </c>
    </row>
    <row r="555" spans="1:13" x14ac:dyDescent="0.35">
      <c r="A555">
        <v>563</v>
      </c>
      <c r="B555">
        <v>45</v>
      </c>
      <c r="C555" s="1" t="s">
        <v>15</v>
      </c>
      <c r="D555" s="1" t="s">
        <v>30</v>
      </c>
      <c r="E555" s="1" t="s">
        <v>31</v>
      </c>
      <c r="F555">
        <v>3000</v>
      </c>
      <c r="G555">
        <v>43</v>
      </c>
      <c r="H555" s="1" t="s">
        <v>13</v>
      </c>
      <c r="I555" s="1" t="s">
        <v>14</v>
      </c>
      <c r="J555">
        <v>4</v>
      </c>
      <c r="K555" t="s">
        <v>49</v>
      </c>
      <c r="L555" t="s">
        <v>59</v>
      </c>
      <c r="M555" t="s">
        <v>51</v>
      </c>
    </row>
    <row r="556" spans="1:13" x14ac:dyDescent="0.35">
      <c r="A556">
        <v>564</v>
      </c>
      <c r="B556">
        <v>75</v>
      </c>
      <c r="C556" s="1" t="s">
        <v>10</v>
      </c>
      <c r="D556" s="1" t="s">
        <v>32</v>
      </c>
      <c r="E556" s="1" t="s">
        <v>33</v>
      </c>
      <c r="F556">
        <v>18000</v>
      </c>
      <c r="G556">
        <v>45</v>
      </c>
      <c r="H556" s="1" t="s">
        <v>18</v>
      </c>
      <c r="I556" s="1" t="s">
        <v>19</v>
      </c>
      <c r="J556">
        <v>2</v>
      </c>
      <c r="K556" t="s">
        <v>55</v>
      </c>
      <c r="L556" t="s">
        <v>59</v>
      </c>
      <c r="M556" t="s">
        <v>57</v>
      </c>
    </row>
    <row r="557" spans="1:13" x14ac:dyDescent="0.35">
      <c r="A557">
        <v>565</v>
      </c>
      <c r="B557">
        <v>28</v>
      </c>
      <c r="C557" s="1" t="s">
        <v>15</v>
      </c>
      <c r="D557" s="1" t="s">
        <v>34</v>
      </c>
      <c r="E557" s="1" t="s">
        <v>35</v>
      </c>
      <c r="F557">
        <v>100</v>
      </c>
      <c r="G557">
        <v>38</v>
      </c>
      <c r="H557" s="1" t="s">
        <v>13</v>
      </c>
      <c r="I557" s="1" t="s">
        <v>14</v>
      </c>
      <c r="J557">
        <v>5</v>
      </c>
      <c r="K557" t="s">
        <v>53</v>
      </c>
      <c r="L557" t="s">
        <v>59</v>
      </c>
      <c r="M557" t="s">
        <v>51</v>
      </c>
    </row>
    <row r="558" spans="1:13" x14ac:dyDescent="0.35">
      <c r="A558">
        <v>566</v>
      </c>
      <c r="B558">
        <v>52</v>
      </c>
      <c r="C558" s="1" t="s">
        <v>10</v>
      </c>
      <c r="D558" s="1" t="s">
        <v>36</v>
      </c>
      <c r="E558" s="1" t="s">
        <v>37</v>
      </c>
      <c r="F558">
        <v>800</v>
      </c>
      <c r="G558">
        <v>39</v>
      </c>
      <c r="H558" s="1" t="s">
        <v>13</v>
      </c>
      <c r="I558" s="1" t="s">
        <v>19</v>
      </c>
      <c r="J558">
        <v>4</v>
      </c>
      <c r="K558" t="s">
        <v>49</v>
      </c>
      <c r="L558" t="s">
        <v>59</v>
      </c>
      <c r="M558" t="s">
        <v>51</v>
      </c>
    </row>
    <row r="559" spans="1:13" x14ac:dyDescent="0.35">
      <c r="A559">
        <v>567</v>
      </c>
      <c r="B559">
        <v>67</v>
      </c>
      <c r="C559" s="1" t="s">
        <v>15</v>
      </c>
      <c r="D559" s="1" t="s">
        <v>38</v>
      </c>
      <c r="E559" s="1" t="s">
        <v>39</v>
      </c>
      <c r="F559">
        <v>20000</v>
      </c>
      <c r="G559">
        <v>46</v>
      </c>
      <c r="H559" s="1" t="s">
        <v>13</v>
      </c>
      <c r="I559" s="1" t="s">
        <v>14</v>
      </c>
      <c r="J559">
        <v>3</v>
      </c>
      <c r="K559" t="s">
        <v>55</v>
      </c>
      <c r="L559" t="s">
        <v>59</v>
      </c>
      <c r="M559" t="s">
        <v>52</v>
      </c>
    </row>
    <row r="560" spans="1:13" x14ac:dyDescent="0.35">
      <c r="A560">
        <v>568</v>
      </c>
      <c r="B560">
        <v>35</v>
      </c>
      <c r="C560" s="1" t="s">
        <v>10</v>
      </c>
      <c r="D560" s="1" t="s">
        <v>40</v>
      </c>
      <c r="E560" s="1" t="s">
        <v>41</v>
      </c>
      <c r="F560">
        <v>12000</v>
      </c>
      <c r="G560">
        <v>40</v>
      </c>
      <c r="H560" s="1" t="s">
        <v>13</v>
      </c>
      <c r="I560" s="1" t="s">
        <v>14</v>
      </c>
      <c r="J560">
        <v>4</v>
      </c>
      <c r="K560" t="s">
        <v>53</v>
      </c>
      <c r="L560" t="s">
        <v>59</v>
      </c>
      <c r="M560" t="s">
        <v>51</v>
      </c>
    </row>
    <row r="561" spans="1:13" x14ac:dyDescent="0.35">
      <c r="A561">
        <v>569</v>
      </c>
      <c r="B561">
        <v>50</v>
      </c>
      <c r="C561" s="1" t="s">
        <v>15</v>
      </c>
      <c r="D561" s="1" t="s">
        <v>42</v>
      </c>
      <c r="E561" s="1" t="s">
        <v>43</v>
      </c>
      <c r="F561">
        <v>6000</v>
      </c>
      <c r="G561">
        <v>41</v>
      </c>
      <c r="H561" s="1" t="s">
        <v>13</v>
      </c>
      <c r="I561" s="1" t="s">
        <v>14</v>
      </c>
      <c r="J561">
        <v>3</v>
      </c>
      <c r="K561" t="s">
        <v>49</v>
      </c>
      <c r="L561" t="s">
        <v>59</v>
      </c>
      <c r="M561" t="s">
        <v>52</v>
      </c>
    </row>
    <row r="562" spans="1:13" x14ac:dyDescent="0.35">
      <c r="A562">
        <v>570</v>
      </c>
      <c r="B562">
        <v>60</v>
      </c>
      <c r="C562" s="1" t="s">
        <v>10</v>
      </c>
      <c r="D562" s="1" t="s">
        <v>44</v>
      </c>
      <c r="E562" s="1" t="s">
        <v>45</v>
      </c>
      <c r="F562">
        <v>4000</v>
      </c>
      <c r="G562">
        <v>42</v>
      </c>
      <c r="H562" s="1" t="s">
        <v>13</v>
      </c>
      <c r="I562" s="1" t="s">
        <v>19</v>
      </c>
      <c r="J562">
        <v>4</v>
      </c>
      <c r="K562" t="s">
        <v>49</v>
      </c>
      <c r="L562" t="s">
        <v>59</v>
      </c>
      <c r="M562" t="s">
        <v>51</v>
      </c>
    </row>
    <row r="563" spans="1:13" x14ac:dyDescent="0.35">
      <c r="A563">
        <v>571</v>
      </c>
      <c r="B563">
        <v>48</v>
      </c>
      <c r="C563" s="1" t="s">
        <v>10</v>
      </c>
      <c r="D563" s="1" t="s">
        <v>11</v>
      </c>
      <c r="E563" s="1" t="s">
        <v>12</v>
      </c>
      <c r="F563">
        <v>15000</v>
      </c>
      <c r="G563">
        <v>43</v>
      </c>
      <c r="H563" s="1" t="s">
        <v>18</v>
      </c>
      <c r="I563" s="1" t="s">
        <v>14</v>
      </c>
      <c r="J563">
        <v>4</v>
      </c>
      <c r="K563" t="s">
        <v>49</v>
      </c>
      <c r="L563" t="s">
        <v>59</v>
      </c>
      <c r="M563" t="s">
        <v>51</v>
      </c>
    </row>
    <row r="564" spans="1:13" x14ac:dyDescent="0.35">
      <c r="A564">
        <v>572</v>
      </c>
      <c r="B564">
        <v>65</v>
      </c>
      <c r="C564" s="1" t="s">
        <v>15</v>
      </c>
      <c r="D564" s="1" t="s">
        <v>16</v>
      </c>
      <c r="E564" s="1" t="s">
        <v>17</v>
      </c>
      <c r="F564">
        <v>2000</v>
      </c>
      <c r="G564">
        <v>41</v>
      </c>
      <c r="H564" s="1" t="s">
        <v>13</v>
      </c>
      <c r="I564" s="1" t="s">
        <v>19</v>
      </c>
      <c r="J564">
        <v>3</v>
      </c>
      <c r="K564" t="s">
        <v>55</v>
      </c>
      <c r="L564" t="s">
        <v>59</v>
      </c>
      <c r="M564" t="s">
        <v>52</v>
      </c>
    </row>
    <row r="565" spans="1:13" x14ac:dyDescent="0.35">
      <c r="A565">
        <v>573</v>
      </c>
      <c r="B565">
        <v>30</v>
      </c>
      <c r="C565" s="1" t="s">
        <v>10</v>
      </c>
      <c r="D565" s="1" t="s">
        <v>20</v>
      </c>
      <c r="E565" s="1" t="s">
        <v>21</v>
      </c>
      <c r="F565">
        <v>500</v>
      </c>
      <c r="G565">
        <v>39</v>
      </c>
      <c r="H565" s="1" t="s">
        <v>13</v>
      </c>
      <c r="I565" s="1" t="s">
        <v>14</v>
      </c>
      <c r="J565">
        <v>5</v>
      </c>
      <c r="K565" t="s">
        <v>53</v>
      </c>
      <c r="L565" t="s">
        <v>59</v>
      </c>
      <c r="M565" t="s">
        <v>51</v>
      </c>
    </row>
    <row r="566" spans="1:13" x14ac:dyDescent="0.35">
      <c r="A566">
        <v>574</v>
      </c>
      <c r="B566">
        <v>70</v>
      </c>
      <c r="C566" s="1" t="s">
        <v>15</v>
      </c>
      <c r="D566" s="1" t="s">
        <v>22</v>
      </c>
      <c r="E566" s="1" t="s">
        <v>23</v>
      </c>
      <c r="F566">
        <v>10000</v>
      </c>
      <c r="G566">
        <v>46</v>
      </c>
      <c r="H566" s="1" t="s">
        <v>18</v>
      </c>
      <c r="I566" s="1" t="s">
        <v>19</v>
      </c>
      <c r="J566">
        <v>2</v>
      </c>
      <c r="K566" t="s">
        <v>55</v>
      </c>
      <c r="L566" t="s">
        <v>59</v>
      </c>
      <c r="M566" t="s">
        <v>57</v>
      </c>
    </row>
    <row r="567" spans="1:13" x14ac:dyDescent="0.35">
      <c r="A567">
        <v>575</v>
      </c>
      <c r="B567">
        <v>55</v>
      </c>
      <c r="C567" s="1" t="s">
        <v>10</v>
      </c>
      <c r="D567" s="1" t="s">
        <v>24</v>
      </c>
      <c r="E567" s="1" t="s">
        <v>25</v>
      </c>
      <c r="F567">
        <v>25000</v>
      </c>
      <c r="G567">
        <v>48</v>
      </c>
      <c r="H567" s="1" t="s">
        <v>13</v>
      </c>
      <c r="I567" s="1" t="s">
        <v>14</v>
      </c>
      <c r="J567">
        <v>4</v>
      </c>
      <c r="K567" t="s">
        <v>49</v>
      </c>
      <c r="L567" t="s">
        <v>59</v>
      </c>
      <c r="M567" t="s">
        <v>51</v>
      </c>
    </row>
    <row r="568" spans="1:13" x14ac:dyDescent="0.35">
      <c r="A568">
        <v>576</v>
      </c>
      <c r="B568">
        <v>68</v>
      </c>
      <c r="C568" s="1" t="s">
        <v>15</v>
      </c>
      <c r="D568" s="1" t="s">
        <v>26</v>
      </c>
      <c r="E568" s="1" t="s">
        <v>27</v>
      </c>
      <c r="F568">
        <v>1000</v>
      </c>
      <c r="G568">
        <v>42</v>
      </c>
      <c r="H568" s="1" t="s">
        <v>13</v>
      </c>
      <c r="I568" s="1" t="s">
        <v>19</v>
      </c>
      <c r="J568">
        <v>4</v>
      </c>
      <c r="K568" t="s">
        <v>55</v>
      </c>
      <c r="L568" t="s">
        <v>59</v>
      </c>
      <c r="M568" t="s">
        <v>51</v>
      </c>
    </row>
    <row r="569" spans="1:13" x14ac:dyDescent="0.35">
      <c r="A569">
        <v>577</v>
      </c>
      <c r="B569">
        <v>45</v>
      </c>
      <c r="C569" s="1" t="s">
        <v>10</v>
      </c>
      <c r="D569" s="1" t="s">
        <v>28</v>
      </c>
      <c r="E569" s="1" t="s">
        <v>29</v>
      </c>
      <c r="F569">
        <v>8000</v>
      </c>
      <c r="G569">
        <v>44</v>
      </c>
      <c r="H569" s="1" t="s">
        <v>13</v>
      </c>
      <c r="I569" s="1" t="s">
        <v>14</v>
      </c>
      <c r="J569">
        <v>3</v>
      </c>
      <c r="K569" t="s">
        <v>49</v>
      </c>
      <c r="L569" t="s">
        <v>59</v>
      </c>
      <c r="M569" t="s">
        <v>52</v>
      </c>
    </row>
    <row r="570" spans="1:13" x14ac:dyDescent="0.35">
      <c r="A570">
        <v>578</v>
      </c>
      <c r="B570">
        <v>40</v>
      </c>
      <c r="C570" s="1" t="s">
        <v>15</v>
      </c>
      <c r="D570" s="1" t="s">
        <v>30</v>
      </c>
      <c r="E570" s="1" t="s">
        <v>31</v>
      </c>
      <c r="F570">
        <v>3000</v>
      </c>
      <c r="G570">
        <v>44</v>
      </c>
      <c r="H570" s="1" t="s">
        <v>13</v>
      </c>
      <c r="I570" s="1" t="s">
        <v>14</v>
      </c>
      <c r="J570">
        <v>4</v>
      </c>
      <c r="K570" t="s">
        <v>49</v>
      </c>
      <c r="L570" t="s">
        <v>59</v>
      </c>
      <c r="M570" t="s">
        <v>51</v>
      </c>
    </row>
    <row r="571" spans="1:13" x14ac:dyDescent="0.35">
      <c r="A571">
        <v>579</v>
      </c>
      <c r="B571">
        <v>78</v>
      </c>
      <c r="C571" s="1" t="s">
        <v>10</v>
      </c>
      <c r="D571" s="1" t="s">
        <v>32</v>
      </c>
      <c r="E571" s="1" t="s">
        <v>33</v>
      </c>
      <c r="F571">
        <v>18000</v>
      </c>
      <c r="G571">
        <v>46</v>
      </c>
      <c r="H571" s="1" t="s">
        <v>18</v>
      </c>
      <c r="I571" s="1" t="s">
        <v>19</v>
      </c>
      <c r="J571">
        <v>2</v>
      </c>
      <c r="K571" t="s">
        <v>55</v>
      </c>
      <c r="L571" t="s">
        <v>59</v>
      </c>
      <c r="M571" t="s">
        <v>57</v>
      </c>
    </row>
    <row r="572" spans="1:13" x14ac:dyDescent="0.35">
      <c r="A572">
        <v>580</v>
      </c>
      <c r="B572">
        <v>25</v>
      </c>
      <c r="C572" s="1" t="s">
        <v>15</v>
      </c>
      <c r="D572" s="1" t="s">
        <v>34</v>
      </c>
      <c r="E572" s="1" t="s">
        <v>35</v>
      </c>
      <c r="F572">
        <v>100</v>
      </c>
      <c r="G572">
        <v>39</v>
      </c>
      <c r="H572" s="1" t="s">
        <v>13</v>
      </c>
      <c r="I572" s="1" t="s">
        <v>14</v>
      </c>
      <c r="J572">
        <v>5</v>
      </c>
      <c r="K572" t="s">
        <v>53</v>
      </c>
      <c r="L572" t="s">
        <v>59</v>
      </c>
      <c r="M572" t="s">
        <v>51</v>
      </c>
    </row>
    <row r="573" spans="1:13" x14ac:dyDescent="0.35">
      <c r="A573">
        <v>581</v>
      </c>
      <c r="B573">
        <v>52</v>
      </c>
      <c r="C573" s="1" t="s">
        <v>10</v>
      </c>
      <c r="D573" s="1" t="s">
        <v>36</v>
      </c>
      <c r="E573" s="1" t="s">
        <v>37</v>
      </c>
      <c r="F573">
        <v>800</v>
      </c>
      <c r="G573">
        <v>40</v>
      </c>
      <c r="H573" s="1" t="s">
        <v>13</v>
      </c>
      <c r="I573" s="1" t="s">
        <v>19</v>
      </c>
      <c r="J573">
        <v>4</v>
      </c>
      <c r="K573" t="s">
        <v>49</v>
      </c>
      <c r="L573" t="s">
        <v>59</v>
      </c>
      <c r="M573" t="s">
        <v>51</v>
      </c>
    </row>
    <row r="574" spans="1:13" x14ac:dyDescent="0.35">
      <c r="A574">
        <v>582</v>
      </c>
      <c r="B574">
        <v>58</v>
      </c>
      <c r="C574" s="1" t="s">
        <v>15</v>
      </c>
      <c r="D574" s="1" t="s">
        <v>38</v>
      </c>
      <c r="E574" s="1" t="s">
        <v>39</v>
      </c>
      <c r="F574">
        <v>20000</v>
      </c>
      <c r="G574">
        <v>47</v>
      </c>
      <c r="H574" s="1" t="s">
        <v>13</v>
      </c>
      <c r="I574" s="1" t="s">
        <v>14</v>
      </c>
      <c r="J574">
        <v>3</v>
      </c>
      <c r="K574" t="s">
        <v>49</v>
      </c>
      <c r="L574" t="s">
        <v>59</v>
      </c>
      <c r="M574" t="s">
        <v>52</v>
      </c>
    </row>
    <row r="575" spans="1:13" x14ac:dyDescent="0.35">
      <c r="A575">
        <v>583</v>
      </c>
      <c r="B575">
        <v>32</v>
      </c>
      <c r="C575" s="1" t="s">
        <v>10</v>
      </c>
      <c r="D575" s="1" t="s">
        <v>40</v>
      </c>
      <c r="E575" s="1" t="s">
        <v>41</v>
      </c>
      <c r="F575">
        <v>12000</v>
      </c>
      <c r="G575">
        <v>41</v>
      </c>
      <c r="H575" s="1" t="s">
        <v>13</v>
      </c>
      <c r="I575" s="1" t="s">
        <v>14</v>
      </c>
      <c r="J575">
        <v>4</v>
      </c>
      <c r="K575" t="s">
        <v>53</v>
      </c>
      <c r="L575" t="s">
        <v>59</v>
      </c>
      <c r="M575" t="s">
        <v>51</v>
      </c>
    </row>
    <row r="576" spans="1:13" x14ac:dyDescent="0.35">
      <c r="A576">
        <v>584</v>
      </c>
      <c r="B576">
        <v>55</v>
      </c>
      <c r="C576" s="1" t="s">
        <v>15</v>
      </c>
      <c r="D576" s="1" t="s">
        <v>42</v>
      </c>
      <c r="E576" s="1" t="s">
        <v>43</v>
      </c>
      <c r="F576">
        <v>6000</v>
      </c>
      <c r="G576">
        <v>42</v>
      </c>
      <c r="H576" s="1" t="s">
        <v>13</v>
      </c>
      <c r="I576" s="1" t="s">
        <v>14</v>
      </c>
      <c r="J576">
        <v>3</v>
      </c>
      <c r="K576" t="s">
        <v>49</v>
      </c>
      <c r="L576" t="s">
        <v>59</v>
      </c>
      <c r="M576" t="s">
        <v>52</v>
      </c>
    </row>
    <row r="577" spans="1:13" x14ac:dyDescent="0.35">
      <c r="A577">
        <v>585</v>
      </c>
      <c r="B577">
        <v>65</v>
      </c>
      <c r="C577" s="1" t="s">
        <v>10</v>
      </c>
      <c r="D577" s="1" t="s">
        <v>44</v>
      </c>
      <c r="E577" s="1" t="s">
        <v>45</v>
      </c>
      <c r="F577">
        <v>4000</v>
      </c>
      <c r="G577">
        <v>43</v>
      </c>
      <c r="H577" s="1" t="s">
        <v>13</v>
      </c>
      <c r="I577" s="1" t="s">
        <v>19</v>
      </c>
      <c r="J577">
        <v>4</v>
      </c>
      <c r="K577" t="s">
        <v>55</v>
      </c>
      <c r="L577" t="s">
        <v>59</v>
      </c>
      <c r="M577" t="s">
        <v>51</v>
      </c>
    </row>
    <row r="578" spans="1:13" x14ac:dyDescent="0.35">
      <c r="A578">
        <v>586</v>
      </c>
      <c r="B578">
        <v>55</v>
      </c>
      <c r="C578" s="1" t="s">
        <v>10</v>
      </c>
      <c r="D578" s="1" t="s">
        <v>11</v>
      </c>
      <c r="E578" s="1" t="s">
        <v>12</v>
      </c>
      <c r="F578">
        <v>15000</v>
      </c>
      <c r="G578">
        <v>44</v>
      </c>
      <c r="H578" s="1" t="s">
        <v>18</v>
      </c>
      <c r="I578" s="1" t="s">
        <v>14</v>
      </c>
      <c r="J578">
        <v>3</v>
      </c>
      <c r="K578" t="s">
        <v>49</v>
      </c>
      <c r="L578" t="s">
        <v>59</v>
      </c>
      <c r="M578" t="s">
        <v>52</v>
      </c>
    </row>
    <row r="579" spans="1:13" x14ac:dyDescent="0.35">
      <c r="A579">
        <v>587</v>
      </c>
      <c r="B579">
        <v>62</v>
      </c>
      <c r="C579" s="1" t="s">
        <v>15</v>
      </c>
      <c r="D579" s="1" t="s">
        <v>16</v>
      </c>
      <c r="E579" s="1" t="s">
        <v>17</v>
      </c>
      <c r="F579">
        <v>2000</v>
      </c>
      <c r="G579">
        <v>42</v>
      </c>
      <c r="H579" s="1" t="s">
        <v>13</v>
      </c>
      <c r="I579" s="1" t="s">
        <v>19</v>
      </c>
      <c r="J579">
        <v>4</v>
      </c>
      <c r="K579" t="s">
        <v>55</v>
      </c>
      <c r="L579" t="s">
        <v>59</v>
      </c>
      <c r="M579" t="s">
        <v>51</v>
      </c>
    </row>
    <row r="580" spans="1:13" x14ac:dyDescent="0.35">
      <c r="A580">
        <v>588</v>
      </c>
      <c r="B580">
        <v>35</v>
      </c>
      <c r="C580" s="1" t="s">
        <v>10</v>
      </c>
      <c r="D580" s="1" t="s">
        <v>20</v>
      </c>
      <c r="E580" s="1" t="s">
        <v>21</v>
      </c>
      <c r="F580">
        <v>500</v>
      </c>
      <c r="G580">
        <v>40</v>
      </c>
      <c r="H580" s="1" t="s">
        <v>18</v>
      </c>
      <c r="I580" s="1" t="s">
        <v>14</v>
      </c>
      <c r="J580">
        <v>5</v>
      </c>
      <c r="K580" t="s">
        <v>53</v>
      </c>
      <c r="L580" t="s">
        <v>59</v>
      </c>
      <c r="M580" t="s">
        <v>51</v>
      </c>
    </row>
    <row r="581" spans="1:13" x14ac:dyDescent="0.35">
      <c r="A581">
        <v>589</v>
      </c>
      <c r="B581">
        <v>78</v>
      </c>
      <c r="C581" s="1" t="s">
        <v>15</v>
      </c>
      <c r="D581" s="1" t="s">
        <v>22</v>
      </c>
      <c r="E581" s="1" t="s">
        <v>23</v>
      </c>
      <c r="F581">
        <v>10000</v>
      </c>
      <c r="G581">
        <v>47</v>
      </c>
      <c r="H581" s="1" t="s">
        <v>13</v>
      </c>
      <c r="I581" s="1" t="s">
        <v>19</v>
      </c>
      <c r="J581">
        <v>2</v>
      </c>
      <c r="K581" t="s">
        <v>55</v>
      </c>
      <c r="L581" t="s">
        <v>59</v>
      </c>
      <c r="M581" t="s">
        <v>57</v>
      </c>
    </row>
    <row r="582" spans="1:13" x14ac:dyDescent="0.35">
      <c r="A582">
        <v>590</v>
      </c>
      <c r="B582">
        <v>53</v>
      </c>
      <c r="C582" s="1" t="s">
        <v>10</v>
      </c>
      <c r="D582" s="1" t="s">
        <v>24</v>
      </c>
      <c r="E582" s="1" t="s">
        <v>25</v>
      </c>
      <c r="F582">
        <v>25000</v>
      </c>
      <c r="G582">
        <v>49</v>
      </c>
      <c r="H582" s="1" t="s">
        <v>18</v>
      </c>
      <c r="I582" s="1" t="s">
        <v>14</v>
      </c>
      <c r="J582">
        <v>4</v>
      </c>
      <c r="K582" t="s">
        <v>49</v>
      </c>
      <c r="L582" t="s">
        <v>59</v>
      </c>
      <c r="M582" t="s">
        <v>51</v>
      </c>
    </row>
    <row r="583" spans="1:13" x14ac:dyDescent="0.35">
      <c r="A583">
        <v>591</v>
      </c>
      <c r="B583">
        <v>72</v>
      </c>
      <c r="C583" s="1" t="s">
        <v>15</v>
      </c>
      <c r="D583" s="1" t="s">
        <v>26</v>
      </c>
      <c r="E583" s="1" t="s">
        <v>27</v>
      </c>
      <c r="F583">
        <v>1000</v>
      </c>
      <c r="G583">
        <v>43</v>
      </c>
      <c r="H583" s="1" t="s">
        <v>13</v>
      </c>
      <c r="I583" s="1" t="s">
        <v>19</v>
      </c>
      <c r="J583">
        <v>4</v>
      </c>
      <c r="K583" t="s">
        <v>55</v>
      </c>
      <c r="L583" t="s">
        <v>59</v>
      </c>
      <c r="M583" t="s">
        <v>51</v>
      </c>
    </row>
    <row r="584" spans="1:13" x14ac:dyDescent="0.35">
      <c r="A584">
        <v>592</v>
      </c>
      <c r="B584">
        <v>60</v>
      </c>
      <c r="C584" s="1" t="s">
        <v>10</v>
      </c>
      <c r="D584" s="1" t="s">
        <v>28</v>
      </c>
      <c r="E584" s="1" t="s">
        <v>29</v>
      </c>
      <c r="F584">
        <v>8000</v>
      </c>
      <c r="G584">
        <v>45</v>
      </c>
      <c r="H584" s="1" t="s">
        <v>18</v>
      </c>
      <c r="I584" s="1" t="s">
        <v>14</v>
      </c>
      <c r="J584">
        <v>3</v>
      </c>
      <c r="K584" t="s">
        <v>49</v>
      </c>
      <c r="L584" t="s">
        <v>59</v>
      </c>
      <c r="M584" t="s">
        <v>52</v>
      </c>
    </row>
    <row r="585" spans="1:13" x14ac:dyDescent="0.35">
      <c r="A585">
        <v>593</v>
      </c>
      <c r="B585">
        <v>45</v>
      </c>
      <c r="C585" s="1" t="s">
        <v>15</v>
      </c>
      <c r="D585" s="1" t="s">
        <v>30</v>
      </c>
      <c r="E585" s="1" t="s">
        <v>31</v>
      </c>
      <c r="F585">
        <v>3000</v>
      </c>
      <c r="G585">
        <v>45</v>
      </c>
      <c r="H585" s="1" t="s">
        <v>13</v>
      </c>
      <c r="I585" s="1" t="s">
        <v>14</v>
      </c>
      <c r="J585">
        <v>4</v>
      </c>
      <c r="K585" t="s">
        <v>49</v>
      </c>
      <c r="L585" t="s">
        <v>59</v>
      </c>
      <c r="M585" t="s">
        <v>51</v>
      </c>
    </row>
    <row r="586" spans="1:13" x14ac:dyDescent="0.35">
      <c r="A586">
        <v>594</v>
      </c>
      <c r="B586">
        <v>75</v>
      </c>
      <c r="C586" s="1" t="s">
        <v>10</v>
      </c>
      <c r="D586" s="1" t="s">
        <v>32</v>
      </c>
      <c r="E586" s="1" t="s">
        <v>33</v>
      </c>
      <c r="F586">
        <v>18000</v>
      </c>
      <c r="G586">
        <v>47</v>
      </c>
      <c r="H586" s="1" t="s">
        <v>18</v>
      </c>
      <c r="I586" s="1" t="s">
        <v>19</v>
      </c>
      <c r="J586">
        <v>2</v>
      </c>
      <c r="K586" t="s">
        <v>55</v>
      </c>
      <c r="L586" t="s">
        <v>59</v>
      </c>
      <c r="M586" t="s">
        <v>57</v>
      </c>
    </row>
    <row r="587" spans="1:13" x14ac:dyDescent="0.35">
      <c r="A587">
        <v>595</v>
      </c>
      <c r="B587">
        <v>28</v>
      </c>
      <c r="C587" s="1" t="s">
        <v>15</v>
      </c>
      <c r="D587" s="1" t="s">
        <v>34</v>
      </c>
      <c r="E587" s="1" t="s">
        <v>35</v>
      </c>
      <c r="F587">
        <v>100</v>
      </c>
      <c r="G587">
        <v>40</v>
      </c>
      <c r="H587" s="1" t="s">
        <v>13</v>
      </c>
      <c r="I587" s="1" t="s">
        <v>14</v>
      </c>
      <c r="J587">
        <v>5</v>
      </c>
      <c r="K587" t="s">
        <v>53</v>
      </c>
      <c r="L587" t="s">
        <v>59</v>
      </c>
      <c r="M587" t="s">
        <v>51</v>
      </c>
    </row>
    <row r="588" spans="1:13" x14ac:dyDescent="0.35">
      <c r="A588">
        <v>596</v>
      </c>
      <c r="B588">
        <v>52</v>
      </c>
      <c r="C588" s="1" t="s">
        <v>10</v>
      </c>
      <c r="D588" s="1" t="s">
        <v>36</v>
      </c>
      <c r="E588" s="1" t="s">
        <v>37</v>
      </c>
      <c r="F588">
        <v>800</v>
      </c>
      <c r="G588">
        <v>41</v>
      </c>
      <c r="H588" s="1" t="s">
        <v>13</v>
      </c>
      <c r="I588" s="1" t="s">
        <v>19</v>
      </c>
      <c r="J588">
        <v>4</v>
      </c>
      <c r="K588" t="s">
        <v>49</v>
      </c>
      <c r="L588" t="s">
        <v>59</v>
      </c>
      <c r="M588" t="s">
        <v>51</v>
      </c>
    </row>
    <row r="589" spans="1:13" x14ac:dyDescent="0.35">
      <c r="A589">
        <v>597</v>
      </c>
      <c r="B589">
        <v>67</v>
      </c>
      <c r="C589" s="1" t="s">
        <v>15</v>
      </c>
      <c r="D589" s="1" t="s">
        <v>38</v>
      </c>
      <c r="E589" s="1" t="s">
        <v>39</v>
      </c>
      <c r="F589">
        <v>20000</v>
      </c>
      <c r="G589">
        <v>48</v>
      </c>
      <c r="H589" s="1" t="s">
        <v>13</v>
      </c>
      <c r="I589" s="1" t="s">
        <v>14</v>
      </c>
      <c r="J589">
        <v>3</v>
      </c>
      <c r="K589" t="s">
        <v>55</v>
      </c>
      <c r="L589" t="s">
        <v>59</v>
      </c>
      <c r="M589" t="s">
        <v>52</v>
      </c>
    </row>
    <row r="590" spans="1:13" x14ac:dyDescent="0.35">
      <c r="A590">
        <v>598</v>
      </c>
      <c r="B590">
        <v>35</v>
      </c>
      <c r="C590" s="1" t="s">
        <v>10</v>
      </c>
      <c r="D590" s="1" t="s">
        <v>40</v>
      </c>
      <c r="E590" s="1" t="s">
        <v>41</v>
      </c>
      <c r="F590">
        <v>12000</v>
      </c>
      <c r="G590">
        <v>42</v>
      </c>
      <c r="H590" s="1" t="s">
        <v>13</v>
      </c>
      <c r="I590" s="1" t="s">
        <v>14</v>
      </c>
      <c r="J590">
        <v>4</v>
      </c>
      <c r="K590" t="s">
        <v>53</v>
      </c>
      <c r="L590" t="s">
        <v>59</v>
      </c>
      <c r="M590" t="s">
        <v>51</v>
      </c>
    </row>
    <row r="591" spans="1:13" x14ac:dyDescent="0.35">
      <c r="A591">
        <v>599</v>
      </c>
      <c r="B591">
        <v>50</v>
      </c>
      <c r="C591" s="1" t="s">
        <v>15</v>
      </c>
      <c r="D591" s="1" t="s">
        <v>42</v>
      </c>
      <c r="E591" s="1" t="s">
        <v>43</v>
      </c>
      <c r="F591">
        <v>6000</v>
      </c>
      <c r="G591">
        <v>43</v>
      </c>
      <c r="H591" s="1" t="s">
        <v>13</v>
      </c>
      <c r="I591" s="1" t="s">
        <v>14</v>
      </c>
      <c r="J591">
        <v>3</v>
      </c>
      <c r="K591" t="s">
        <v>49</v>
      </c>
      <c r="L591" t="s">
        <v>59</v>
      </c>
      <c r="M591" t="s">
        <v>52</v>
      </c>
    </row>
    <row r="592" spans="1:13" x14ac:dyDescent="0.35">
      <c r="A592">
        <v>601</v>
      </c>
      <c r="B592">
        <v>48</v>
      </c>
      <c r="C592" s="1" t="s">
        <v>10</v>
      </c>
      <c r="D592" s="1" t="s">
        <v>11</v>
      </c>
      <c r="E592" s="1" t="s">
        <v>12</v>
      </c>
      <c r="F592">
        <v>15000</v>
      </c>
      <c r="G592">
        <v>45</v>
      </c>
      <c r="H592" s="1" t="s">
        <v>18</v>
      </c>
      <c r="I592" s="1" t="s">
        <v>14</v>
      </c>
      <c r="J592">
        <v>4</v>
      </c>
      <c r="K592" t="s">
        <v>49</v>
      </c>
      <c r="L592" t="s">
        <v>59</v>
      </c>
      <c r="M592" t="s">
        <v>51</v>
      </c>
    </row>
    <row r="593" spans="1:13" x14ac:dyDescent="0.35">
      <c r="A593">
        <v>602</v>
      </c>
      <c r="B593">
        <v>65</v>
      </c>
      <c r="C593" s="1" t="s">
        <v>15</v>
      </c>
      <c r="D593" s="1" t="s">
        <v>16</v>
      </c>
      <c r="E593" s="1" t="s">
        <v>17</v>
      </c>
      <c r="F593">
        <v>2000</v>
      </c>
      <c r="G593">
        <v>43</v>
      </c>
      <c r="H593" s="1" t="s">
        <v>13</v>
      </c>
      <c r="I593" s="1" t="s">
        <v>19</v>
      </c>
      <c r="J593">
        <v>3</v>
      </c>
      <c r="K593" t="s">
        <v>55</v>
      </c>
      <c r="L593" t="s">
        <v>59</v>
      </c>
      <c r="M593" t="s">
        <v>52</v>
      </c>
    </row>
    <row r="594" spans="1:13" x14ac:dyDescent="0.35">
      <c r="A594">
        <v>603</v>
      </c>
      <c r="B594">
        <v>30</v>
      </c>
      <c r="C594" s="1" t="s">
        <v>10</v>
      </c>
      <c r="D594" s="1" t="s">
        <v>20</v>
      </c>
      <c r="E594" s="1" t="s">
        <v>21</v>
      </c>
      <c r="F594">
        <v>500</v>
      </c>
      <c r="G594">
        <v>41</v>
      </c>
      <c r="H594" s="1" t="s">
        <v>13</v>
      </c>
      <c r="I594" s="1" t="s">
        <v>14</v>
      </c>
      <c r="J594">
        <v>5</v>
      </c>
      <c r="K594" t="s">
        <v>53</v>
      </c>
      <c r="L594" t="s">
        <v>59</v>
      </c>
      <c r="M594" t="s">
        <v>51</v>
      </c>
    </row>
    <row r="595" spans="1:13" x14ac:dyDescent="0.35">
      <c r="A595">
        <v>604</v>
      </c>
      <c r="B595">
        <v>70</v>
      </c>
      <c r="C595" s="1" t="s">
        <v>15</v>
      </c>
      <c r="D595" s="1" t="s">
        <v>22</v>
      </c>
      <c r="E595" s="1" t="s">
        <v>23</v>
      </c>
      <c r="F595">
        <v>10000</v>
      </c>
      <c r="G595">
        <v>48</v>
      </c>
      <c r="H595" s="1" t="s">
        <v>18</v>
      </c>
      <c r="I595" s="1" t="s">
        <v>19</v>
      </c>
      <c r="J595">
        <v>2</v>
      </c>
      <c r="K595" t="s">
        <v>55</v>
      </c>
      <c r="L595" t="s">
        <v>59</v>
      </c>
      <c r="M595" t="s">
        <v>57</v>
      </c>
    </row>
    <row r="596" spans="1:13" x14ac:dyDescent="0.35">
      <c r="A596">
        <v>605</v>
      </c>
      <c r="B596">
        <v>55</v>
      </c>
      <c r="C596" s="1" t="s">
        <v>10</v>
      </c>
      <c r="D596" s="1" t="s">
        <v>24</v>
      </c>
      <c r="E596" s="1" t="s">
        <v>25</v>
      </c>
      <c r="F596">
        <v>25000</v>
      </c>
      <c r="G596">
        <v>50</v>
      </c>
      <c r="H596" s="1" t="s">
        <v>13</v>
      </c>
      <c r="I596" s="1" t="s">
        <v>14</v>
      </c>
      <c r="J596">
        <v>4</v>
      </c>
      <c r="K596" t="s">
        <v>49</v>
      </c>
      <c r="L596" t="s">
        <v>59</v>
      </c>
      <c r="M596" t="s">
        <v>51</v>
      </c>
    </row>
    <row r="597" spans="1:13" x14ac:dyDescent="0.35">
      <c r="A597">
        <v>606</v>
      </c>
      <c r="B597">
        <v>68</v>
      </c>
      <c r="C597" s="1" t="s">
        <v>15</v>
      </c>
      <c r="D597" s="1" t="s">
        <v>26</v>
      </c>
      <c r="E597" s="1" t="s">
        <v>27</v>
      </c>
      <c r="F597">
        <v>1000</v>
      </c>
      <c r="G597">
        <v>44</v>
      </c>
      <c r="H597" s="1" t="s">
        <v>13</v>
      </c>
      <c r="I597" s="1" t="s">
        <v>19</v>
      </c>
      <c r="J597">
        <v>4</v>
      </c>
      <c r="K597" t="s">
        <v>55</v>
      </c>
      <c r="L597" t="s">
        <v>59</v>
      </c>
      <c r="M597" t="s">
        <v>51</v>
      </c>
    </row>
    <row r="598" spans="1:13" x14ac:dyDescent="0.35">
      <c r="A598">
        <v>607</v>
      </c>
      <c r="B598">
        <v>45</v>
      </c>
      <c r="C598" s="1" t="s">
        <v>10</v>
      </c>
      <c r="D598" s="1" t="s">
        <v>28</v>
      </c>
      <c r="E598" s="1" t="s">
        <v>29</v>
      </c>
      <c r="F598">
        <v>8000</v>
      </c>
      <c r="G598">
        <v>46</v>
      </c>
      <c r="H598" s="1" t="s">
        <v>13</v>
      </c>
      <c r="I598" s="1" t="s">
        <v>14</v>
      </c>
      <c r="J598">
        <v>3</v>
      </c>
      <c r="K598" t="s">
        <v>49</v>
      </c>
      <c r="L598" t="s">
        <v>59</v>
      </c>
      <c r="M598" t="s">
        <v>52</v>
      </c>
    </row>
    <row r="599" spans="1:13" x14ac:dyDescent="0.35">
      <c r="A599">
        <v>608</v>
      </c>
      <c r="B599">
        <v>40</v>
      </c>
      <c r="C599" s="1" t="s">
        <v>15</v>
      </c>
      <c r="D599" s="1" t="s">
        <v>30</v>
      </c>
      <c r="E599" s="1" t="s">
        <v>31</v>
      </c>
      <c r="F599">
        <v>3000</v>
      </c>
      <c r="G599">
        <v>46</v>
      </c>
      <c r="H599" s="1" t="s">
        <v>13</v>
      </c>
      <c r="I599" s="1" t="s">
        <v>14</v>
      </c>
      <c r="J599">
        <v>4</v>
      </c>
      <c r="K599" t="s">
        <v>49</v>
      </c>
      <c r="L599" t="s">
        <v>59</v>
      </c>
      <c r="M599" t="s">
        <v>51</v>
      </c>
    </row>
    <row r="600" spans="1:13" x14ac:dyDescent="0.35">
      <c r="A600">
        <v>609</v>
      </c>
      <c r="B600">
        <v>78</v>
      </c>
      <c r="C600" s="1" t="s">
        <v>10</v>
      </c>
      <c r="D600" s="1" t="s">
        <v>32</v>
      </c>
      <c r="E600" s="1" t="s">
        <v>33</v>
      </c>
      <c r="F600">
        <v>18000</v>
      </c>
      <c r="G600">
        <v>48</v>
      </c>
      <c r="H600" s="1" t="s">
        <v>18</v>
      </c>
      <c r="I600" s="1" t="s">
        <v>19</v>
      </c>
      <c r="J600">
        <v>2</v>
      </c>
      <c r="K600" t="s">
        <v>55</v>
      </c>
      <c r="L600" t="s">
        <v>59</v>
      </c>
      <c r="M600" t="s">
        <v>57</v>
      </c>
    </row>
    <row r="601" spans="1:13" x14ac:dyDescent="0.35">
      <c r="A601">
        <v>610</v>
      </c>
      <c r="B601">
        <v>25</v>
      </c>
      <c r="C601" s="1" t="s">
        <v>15</v>
      </c>
      <c r="D601" s="1" t="s">
        <v>34</v>
      </c>
      <c r="E601" s="1" t="s">
        <v>35</v>
      </c>
      <c r="F601">
        <v>100</v>
      </c>
      <c r="G601">
        <v>41</v>
      </c>
      <c r="H601" s="1" t="s">
        <v>13</v>
      </c>
      <c r="I601" s="1" t="s">
        <v>14</v>
      </c>
      <c r="J601">
        <v>5</v>
      </c>
      <c r="K601" t="s">
        <v>53</v>
      </c>
      <c r="L601" t="s">
        <v>59</v>
      </c>
      <c r="M601" t="s">
        <v>51</v>
      </c>
    </row>
    <row r="602" spans="1:13" x14ac:dyDescent="0.35">
      <c r="A602">
        <v>611</v>
      </c>
      <c r="B602">
        <v>52</v>
      </c>
      <c r="C602" s="1" t="s">
        <v>10</v>
      </c>
      <c r="D602" s="1" t="s">
        <v>36</v>
      </c>
      <c r="E602" s="1" t="s">
        <v>37</v>
      </c>
      <c r="F602">
        <v>800</v>
      </c>
      <c r="G602">
        <v>42</v>
      </c>
      <c r="H602" s="1" t="s">
        <v>13</v>
      </c>
      <c r="I602" s="1" t="s">
        <v>19</v>
      </c>
      <c r="J602">
        <v>4</v>
      </c>
      <c r="K602" t="s">
        <v>49</v>
      </c>
      <c r="L602" t="s">
        <v>59</v>
      </c>
      <c r="M602" t="s">
        <v>51</v>
      </c>
    </row>
    <row r="603" spans="1:13" x14ac:dyDescent="0.35">
      <c r="A603">
        <v>612</v>
      </c>
      <c r="B603">
        <v>58</v>
      </c>
      <c r="C603" s="1" t="s">
        <v>15</v>
      </c>
      <c r="D603" s="1" t="s">
        <v>38</v>
      </c>
      <c r="E603" s="1" t="s">
        <v>39</v>
      </c>
      <c r="F603">
        <v>20000</v>
      </c>
      <c r="G603">
        <v>49</v>
      </c>
      <c r="H603" s="1" t="s">
        <v>13</v>
      </c>
      <c r="I603" s="1" t="s">
        <v>14</v>
      </c>
      <c r="J603">
        <v>3</v>
      </c>
      <c r="K603" t="s">
        <v>49</v>
      </c>
      <c r="L603" t="s">
        <v>59</v>
      </c>
      <c r="M603" t="s">
        <v>52</v>
      </c>
    </row>
    <row r="604" spans="1:13" x14ac:dyDescent="0.35">
      <c r="A604">
        <v>613</v>
      </c>
      <c r="B604">
        <v>32</v>
      </c>
      <c r="C604" s="1" t="s">
        <v>10</v>
      </c>
      <c r="D604" s="1" t="s">
        <v>40</v>
      </c>
      <c r="E604" s="1" t="s">
        <v>41</v>
      </c>
      <c r="F604">
        <v>12000</v>
      </c>
      <c r="G604">
        <v>43</v>
      </c>
      <c r="H604" s="1" t="s">
        <v>13</v>
      </c>
      <c r="I604" s="1" t="s">
        <v>14</v>
      </c>
      <c r="J604">
        <v>4</v>
      </c>
      <c r="K604" t="s">
        <v>53</v>
      </c>
      <c r="L604" t="s">
        <v>59</v>
      </c>
      <c r="M604" t="s">
        <v>51</v>
      </c>
    </row>
    <row r="605" spans="1:13" x14ac:dyDescent="0.35">
      <c r="A605">
        <v>614</v>
      </c>
      <c r="B605">
        <v>55</v>
      </c>
      <c r="C605" s="1" t="s">
        <v>15</v>
      </c>
      <c r="D605" s="1" t="s">
        <v>42</v>
      </c>
      <c r="E605" s="1" t="s">
        <v>43</v>
      </c>
      <c r="F605">
        <v>6000</v>
      </c>
      <c r="G605">
        <v>44</v>
      </c>
      <c r="H605" s="1" t="s">
        <v>13</v>
      </c>
      <c r="I605" s="1" t="s">
        <v>14</v>
      </c>
      <c r="J605">
        <v>3</v>
      </c>
      <c r="K605" t="s">
        <v>49</v>
      </c>
      <c r="L605" t="s">
        <v>59</v>
      </c>
      <c r="M605" t="s">
        <v>52</v>
      </c>
    </row>
    <row r="606" spans="1:13" x14ac:dyDescent="0.35">
      <c r="A606">
        <v>615</v>
      </c>
      <c r="B606">
        <v>65</v>
      </c>
      <c r="C606" s="1" t="s">
        <v>10</v>
      </c>
      <c r="D606" s="1" t="s">
        <v>44</v>
      </c>
      <c r="E606" s="1" t="s">
        <v>45</v>
      </c>
      <c r="F606">
        <v>4000</v>
      </c>
      <c r="G606">
        <v>45</v>
      </c>
      <c r="H606" s="1" t="s">
        <v>13</v>
      </c>
      <c r="I606" s="1" t="s">
        <v>19</v>
      </c>
      <c r="J606">
        <v>4</v>
      </c>
      <c r="K606" t="s">
        <v>55</v>
      </c>
      <c r="L606" t="s">
        <v>59</v>
      </c>
      <c r="M606" t="s">
        <v>51</v>
      </c>
    </row>
    <row r="607" spans="1:13" x14ac:dyDescent="0.35">
      <c r="A607">
        <v>616</v>
      </c>
      <c r="B607">
        <v>55</v>
      </c>
      <c r="C607" s="1" t="s">
        <v>10</v>
      </c>
      <c r="D607" s="1" t="s">
        <v>11</v>
      </c>
      <c r="E607" s="1" t="s">
        <v>12</v>
      </c>
      <c r="F607">
        <v>15000</v>
      </c>
      <c r="G607">
        <v>46</v>
      </c>
      <c r="H607" s="1" t="s">
        <v>18</v>
      </c>
      <c r="I607" s="1" t="s">
        <v>14</v>
      </c>
      <c r="J607">
        <v>3</v>
      </c>
      <c r="K607" t="s">
        <v>49</v>
      </c>
      <c r="L607" t="s">
        <v>59</v>
      </c>
      <c r="M607" t="s">
        <v>52</v>
      </c>
    </row>
    <row r="608" spans="1:13" x14ac:dyDescent="0.35">
      <c r="A608">
        <v>617</v>
      </c>
      <c r="B608">
        <v>62</v>
      </c>
      <c r="C608" s="1" t="s">
        <v>15</v>
      </c>
      <c r="D608" s="1" t="s">
        <v>16</v>
      </c>
      <c r="E608" s="1" t="s">
        <v>17</v>
      </c>
      <c r="F608">
        <v>2000</v>
      </c>
      <c r="G608">
        <v>44</v>
      </c>
      <c r="H608" s="1" t="s">
        <v>13</v>
      </c>
      <c r="I608" s="1" t="s">
        <v>19</v>
      </c>
      <c r="J608">
        <v>4</v>
      </c>
      <c r="K608" t="s">
        <v>55</v>
      </c>
      <c r="L608" t="s">
        <v>59</v>
      </c>
      <c r="M608" t="s">
        <v>51</v>
      </c>
    </row>
    <row r="609" spans="1:13" x14ac:dyDescent="0.35">
      <c r="A609">
        <v>618</v>
      </c>
      <c r="B609">
        <v>35</v>
      </c>
      <c r="C609" s="1" t="s">
        <v>10</v>
      </c>
      <c r="D609" s="1" t="s">
        <v>20</v>
      </c>
      <c r="E609" s="1" t="s">
        <v>21</v>
      </c>
      <c r="F609">
        <v>500</v>
      </c>
      <c r="G609">
        <v>42</v>
      </c>
      <c r="H609" s="1" t="s">
        <v>18</v>
      </c>
      <c r="I609" s="1" t="s">
        <v>14</v>
      </c>
      <c r="J609">
        <v>5</v>
      </c>
      <c r="K609" t="s">
        <v>53</v>
      </c>
      <c r="L609" t="s">
        <v>59</v>
      </c>
      <c r="M609" t="s">
        <v>51</v>
      </c>
    </row>
    <row r="610" spans="1:13" x14ac:dyDescent="0.35">
      <c r="A610">
        <v>619</v>
      </c>
      <c r="B610">
        <v>78</v>
      </c>
      <c r="C610" s="1" t="s">
        <v>15</v>
      </c>
      <c r="D610" s="1" t="s">
        <v>22</v>
      </c>
      <c r="E610" s="1" t="s">
        <v>23</v>
      </c>
      <c r="F610">
        <v>10000</v>
      </c>
      <c r="G610">
        <v>49</v>
      </c>
      <c r="H610" s="1" t="s">
        <v>13</v>
      </c>
      <c r="I610" s="1" t="s">
        <v>19</v>
      </c>
      <c r="J610">
        <v>2</v>
      </c>
      <c r="K610" t="s">
        <v>55</v>
      </c>
      <c r="L610" t="s">
        <v>59</v>
      </c>
      <c r="M610" t="s">
        <v>57</v>
      </c>
    </row>
    <row r="611" spans="1:13" x14ac:dyDescent="0.35">
      <c r="A611">
        <v>620</v>
      </c>
      <c r="B611">
        <v>53</v>
      </c>
      <c r="C611" s="1" t="s">
        <v>10</v>
      </c>
      <c r="D611" s="1" t="s">
        <v>24</v>
      </c>
      <c r="E611" s="1" t="s">
        <v>25</v>
      </c>
      <c r="F611">
        <v>25000</v>
      </c>
      <c r="G611">
        <v>51</v>
      </c>
      <c r="H611" s="1" t="s">
        <v>18</v>
      </c>
      <c r="I611" s="1" t="s">
        <v>14</v>
      </c>
      <c r="J611">
        <v>4</v>
      </c>
      <c r="K611" t="s">
        <v>49</v>
      </c>
      <c r="L611" t="s">
        <v>59</v>
      </c>
      <c r="M611" t="s">
        <v>51</v>
      </c>
    </row>
    <row r="612" spans="1:13" x14ac:dyDescent="0.35">
      <c r="A612">
        <v>621</v>
      </c>
      <c r="B612">
        <v>72</v>
      </c>
      <c r="C612" s="1" t="s">
        <v>15</v>
      </c>
      <c r="D612" s="1" t="s">
        <v>26</v>
      </c>
      <c r="E612" s="1" t="s">
        <v>27</v>
      </c>
      <c r="F612">
        <v>1000</v>
      </c>
      <c r="G612">
        <v>45</v>
      </c>
      <c r="H612" s="1" t="s">
        <v>13</v>
      </c>
      <c r="I612" s="1" t="s">
        <v>19</v>
      </c>
      <c r="J612">
        <v>4</v>
      </c>
      <c r="K612" t="s">
        <v>55</v>
      </c>
      <c r="L612" t="s">
        <v>59</v>
      </c>
      <c r="M612" t="s">
        <v>51</v>
      </c>
    </row>
    <row r="613" spans="1:13" x14ac:dyDescent="0.35">
      <c r="A613">
        <v>622</v>
      </c>
      <c r="B613">
        <v>60</v>
      </c>
      <c r="C613" s="1" t="s">
        <v>10</v>
      </c>
      <c r="D613" s="1" t="s">
        <v>28</v>
      </c>
      <c r="E613" s="1" t="s">
        <v>29</v>
      </c>
      <c r="F613">
        <v>8000</v>
      </c>
      <c r="G613">
        <v>47</v>
      </c>
      <c r="H613" s="1" t="s">
        <v>18</v>
      </c>
      <c r="I613" s="1" t="s">
        <v>14</v>
      </c>
      <c r="J613">
        <v>3</v>
      </c>
      <c r="K613" t="s">
        <v>49</v>
      </c>
      <c r="L613" t="s">
        <v>59</v>
      </c>
      <c r="M613" t="s">
        <v>52</v>
      </c>
    </row>
    <row r="614" spans="1:13" x14ac:dyDescent="0.35">
      <c r="A614">
        <v>623</v>
      </c>
      <c r="B614">
        <v>45</v>
      </c>
      <c r="C614" s="1" t="s">
        <v>15</v>
      </c>
      <c r="D614" s="1" t="s">
        <v>30</v>
      </c>
      <c r="E614" s="1" t="s">
        <v>31</v>
      </c>
      <c r="F614">
        <v>3000</v>
      </c>
      <c r="G614">
        <v>47</v>
      </c>
      <c r="H614" s="1" t="s">
        <v>13</v>
      </c>
      <c r="I614" s="1" t="s">
        <v>14</v>
      </c>
      <c r="J614">
        <v>4</v>
      </c>
      <c r="K614" t="s">
        <v>49</v>
      </c>
      <c r="L614" t="s">
        <v>59</v>
      </c>
      <c r="M614" t="s">
        <v>51</v>
      </c>
    </row>
    <row r="615" spans="1:13" x14ac:dyDescent="0.35">
      <c r="A615">
        <v>624</v>
      </c>
      <c r="B615">
        <v>75</v>
      </c>
      <c r="C615" s="1" t="s">
        <v>10</v>
      </c>
      <c r="D615" s="1" t="s">
        <v>32</v>
      </c>
      <c r="E615" s="1" t="s">
        <v>33</v>
      </c>
      <c r="F615">
        <v>18000</v>
      </c>
      <c r="G615">
        <v>49</v>
      </c>
      <c r="H615" s="1" t="s">
        <v>18</v>
      </c>
      <c r="I615" s="1" t="s">
        <v>19</v>
      </c>
      <c r="J615">
        <v>2</v>
      </c>
      <c r="K615" t="s">
        <v>55</v>
      </c>
      <c r="L615" t="s">
        <v>59</v>
      </c>
      <c r="M615" t="s">
        <v>57</v>
      </c>
    </row>
    <row r="616" spans="1:13" x14ac:dyDescent="0.35">
      <c r="A616">
        <v>625</v>
      </c>
      <c r="B616">
        <v>28</v>
      </c>
      <c r="C616" s="1" t="s">
        <v>15</v>
      </c>
      <c r="D616" s="1" t="s">
        <v>34</v>
      </c>
      <c r="E616" s="1" t="s">
        <v>35</v>
      </c>
      <c r="F616">
        <v>100</v>
      </c>
      <c r="G616">
        <v>42</v>
      </c>
      <c r="H616" s="1" t="s">
        <v>13</v>
      </c>
      <c r="I616" s="1" t="s">
        <v>14</v>
      </c>
      <c r="J616">
        <v>5</v>
      </c>
      <c r="K616" t="s">
        <v>53</v>
      </c>
      <c r="L616" t="s">
        <v>59</v>
      </c>
      <c r="M616" t="s">
        <v>51</v>
      </c>
    </row>
    <row r="617" spans="1:13" x14ac:dyDescent="0.35">
      <c r="A617">
        <v>626</v>
      </c>
      <c r="B617">
        <v>52</v>
      </c>
      <c r="C617" s="1" t="s">
        <v>10</v>
      </c>
      <c r="D617" s="1" t="s">
        <v>36</v>
      </c>
      <c r="E617" s="1" t="s">
        <v>37</v>
      </c>
      <c r="F617">
        <v>800</v>
      </c>
      <c r="G617">
        <v>43</v>
      </c>
      <c r="H617" s="1" t="s">
        <v>13</v>
      </c>
      <c r="I617" s="1" t="s">
        <v>19</v>
      </c>
      <c r="J617">
        <v>4</v>
      </c>
      <c r="K617" t="s">
        <v>49</v>
      </c>
      <c r="L617" t="s">
        <v>59</v>
      </c>
      <c r="M617" t="s">
        <v>51</v>
      </c>
    </row>
    <row r="618" spans="1:13" x14ac:dyDescent="0.35">
      <c r="A618">
        <v>627</v>
      </c>
      <c r="B618">
        <v>67</v>
      </c>
      <c r="C618" s="1" t="s">
        <v>15</v>
      </c>
      <c r="D618" s="1" t="s">
        <v>38</v>
      </c>
      <c r="E618" s="1" t="s">
        <v>39</v>
      </c>
      <c r="F618">
        <v>20000</v>
      </c>
      <c r="G618">
        <v>50</v>
      </c>
      <c r="H618" s="1" t="s">
        <v>13</v>
      </c>
      <c r="I618" s="1" t="s">
        <v>14</v>
      </c>
      <c r="J618">
        <v>3</v>
      </c>
      <c r="K618" t="s">
        <v>55</v>
      </c>
      <c r="L618" t="s">
        <v>59</v>
      </c>
      <c r="M618" t="s">
        <v>52</v>
      </c>
    </row>
    <row r="619" spans="1:13" x14ac:dyDescent="0.35">
      <c r="A619">
        <v>628</v>
      </c>
      <c r="B619">
        <v>35</v>
      </c>
      <c r="C619" s="1" t="s">
        <v>10</v>
      </c>
      <c r="D619" s="1" t="s">
        <v>40</v>
      </c>
      <c r="E619" s="1" t="s">
        <v>41</v>
      </c>
      <c r="F619">
        <v>12000</v>
      </c>
      <c r="G619">
        <v>44</v>
      </c>
      <c r="H619" s="1" t="s">
        <v>13</v>
      </c>
      <c r="I619" s="1" t="s">
        <v>14</v>
      </c>
      <c r="J619">
        <v>4</v>
      </c>
      <c r="K619" t="s">
        <v>53</v>
      </c>
      <c r="L619" t="s">
        <v>59</v>
      </c>
      <c r="M619" t="s">
        <v>51</v>
      </c>
    </row>
    <row r="620" spans="1:13" x14ac:dyDescent="0.35">
      <c r="A620">
        <v>629</v>
      </c>
      <c r="B620">
        <v>50</v>
      </c>
      <c r="C620" s="1" t="s">
        <v>15</v>
      </c>
      <c r="D620" s="1" t="s">
        <v>42</v>
      </c>
      <c r="E620" s="1" t="s">
        <v>43</v>
      </c>
      <c r="F620">
        <v>6000</v>
      </c>
      <c r="G620">
        <v>45</v>
      </c>
      <c r="H620" s="1" t="s">
        <v>13</v>
      </c>
      <c r="I620" s="1" t="s">
        <v>14</v>
      </c>
      <c r="J620">
        <v>3</v>
      </c>
      <c r="K620" t="s">
        <v>49</v>
      </c>
      <c r="L620" t="s">
        <v>59</v>
      </c>
      <c r="M620" t="s">
        <v>52</v>
      </c>
    </row>
    <row r="621" spans="1:13" x14ac:dyDescent="0.35">
      <c r="A621">
        <v>630</v>
      </c>
      <c r="B621">
        <v>60</v>
      </c>
      <c r="C621" s="1" t="s">
        <v>10</v>
      </c>
      <c r="D621" s="1" t="s">
        <v>44</v>
      </c>
      <c r="E621" s="1" t="s">
        <v>45</v>
      </c>
      <c r="F621">
        <v>4000</v>
      </c>
      <c r="G621">
        <v>46</v>
      </c>
      <c r="H621" s="1" t="s">
        <v>13</v>
      </c>
      <c r="I621" s="1" t="s">
        <v>19</v>
      </c>
      <c r="J621">
        <v>4</v>
      </c>
      <c r="K621" t="s">
        <v>49</v>
      </c>
      <c r="L621" t="s">
        <v>59</v>
      </c>
      <c r="M621" t="s">
        <v>51</v>
      </c>
    </row>
    <row r="622" spans="1:13" x14ac:dyDescent="0.35">
      <c r="A622">
        <v>631</v>
      </c>
      <c r="B622">
        <v>48</v>
      </c>
      <c r="C622" s="1" t="s">
        <v>10</v>
      </c>
      <c r="D622" s="1" t="s">
        <v>11</v>
      </c>
      <c r="E622" s="1" t="s">
        <v>12</v>
      </c>
      <c r="F622">
        <v>15000</v>
      </c>
      <c r="G622">
        <v>47</v>
      </c>
      <c r="H622" s="1" t="s">
        <v>18</v>
      </c>
      <c r="I622" s="1" t="s">
        <v>14</v>
      </c>
      <c r="J622">
        <v>4</v>
      </c>
      <c r="K622" t="s">
        <v>49</v>
      </c>
      <c r="L622" t="s">
        <v>59</v>
      </c>
      <c r="M622" t="s">
        <v>51</v>
      </c>
    </row>
    <row r="623" spans="1:13" x14ac:dyDescent="0.35">
      <c r="A623">
        <v>632</v>
      </c>
      <c r="B623">
        <v>65</v>
      </c>
      <c r="C623" s="1" t="s">
        <v>15</v>
      </c>
      <c r="D623" s="1" t="s">
        <v>16</v>
      </c>
      <c r="E623" s="1" t="s">
        <v>17</v>
      </c>
      <c r="F623">
        <v>2000</v>
      </c>
      <c r="G623">
        <v>45</v>
      </c>
      <c r="H623" s="1" t="s">
        <v>13</v>
      </c>
      <c r="I623" s="1" t="s">
        <v>19</v>
      </c>
      <c r="J623">
        <v>3</v>
      </c>
      <c r="K623" t="s">
        <v>55</v>
      </c>
      <c r="L623" t="s">
        <v>59</v>
      </c>
      <c r="M623" t="s">
        <v>52</v>
      </c>
    </row>
    <row r="624" spans="1:13" x14ac:dyDescent="0.35">
      <c r="A624">
        <v>633</v>
      </c>
      <c r="B624">
        <v>30</v>
      </c>
      <c r="C624" s="1" t="s">
        <v>10</v>
      </c>
      <c r="D624" s="1" t="s">
        <v>20</v>
      </c>
      <c r="E624" s="1" t="s">
        <v>21</v>
      </c>
      <c r="F624">
        <v>500</v>
      </c>
      <c r="G624">
        <v>43</v>
      </c>
      <c r="H624" s="1" t="s">
        <v>13</v>
      </c>
      <c r="I624" s="1" t="s">
        <v>14</v>
      </c>
      <c r="J624">
        <v>5</v>
      </c>
      <c r="K624" t="s">
        <v>53</v>
      </c>
      <c r="L624" t="s">
        <v>59</v>
      </c>
      <c r="M624" t="s">
        <v>51</v>
      </c>
    </row>
    <row r="625" spans="1:13" x14ac:dyDescent="0.35">
      <c r="A625">
        <v>634</v>
      </c>
      <c r="B625">
        <v>70</v>
      </c>
      <c r="C625" s="1" t="s">
        <v>15</v>
      </c>
      <c r="D625" s="1" t="s">
        <v>22</v>
      </c>
      <c r="E625" s="1" t="s">
        <v>23</v>
      </c>
      <c r="F625">
        <v>10000</v>
      </c>
      <c r="G625">
        <v>50</v>
      </c>
      <c r="H625" s="1" t="s">
        <v>18</v>
      </c>
      <c r="I625" s="1" t="s">
        <v>19</v>
      </c>
      <c r="J625">
        <v>2</v>
      </c>
      <c r="K625" t="s">
        <v>55</v>
      </c>
      <c r="L625" t="s">
        <v>59</v>
      </c>
      <c r="M625" t="s">
        <v>57</v>
      </c>
    </row>
    <row r="626" spans="1:13" x14ac:dyDescent="0.35">
      <c r="A626">
        <v>635</v>
      </c>
      <c r="B626">
        <v>55</v>
      </c>
      <c r="C626" s="1" t="s">
        <v>10</v>
      </c>
      <c r="D626" s="1" t="s">
        <v>24</v>
      </c>
      <c r="E626" s="1" t="s">
        <v>25</v>
      </c>
      <c r="F626">
        <v>25000</v>
      </c>
      <c r="G626">
        <v>52</v>
      </c>
      <c r="H626" s="1" t="s">
        <v>13</v>
      </c>
      <c r="I626" s="1" t="s">
        <v>14</v>
      </c>
      <c r="J626">
        <v>4</v>
      </c>
      <c r="K626" t="s">
        <v>49</v>
      </c>
      <c r="L626" t="s">
        <v>59</v>
      </c>
      <c r="M626" t="s">
        <v>51</v>
      </c>
    </row>
    <row r="627" spans="1:13" x14ac:dyDescent="0.35">
      <c r="A627">
        <v>636</v>
      </c>
      <c r="B627">
        <v>68</v>
      </c>
      <c r="C627" s="1" t="s">
        <v>15</v>
      </c>
      <c r="D627" s="1" t="s">
        <v>26</v>
      </c>
      <c r="E627" s="1" t="s">
        <v>27</v>
      </c>
      <c r="F627">
        <v>1000</v>
      </c>
      <c r="G627">
        <v>46</v>
      </c>
      <c r="H627" s="1" t="s">
        <v>13</v>
      </c>
      <c r="I627" s="1" t="s">
        <v>19</v>
      </c>
      <c r="J627">
        <v>4</v>
      </c>
      <c r="K627" t="s">
        <v>55</v>
      </c>
      <c r="L627" t="s">
        <v>59</v>
      </c>
      <c r="M627" t="s">
        <v>51</v>
      </c>
    </row>
    <row r="628" spans="1:13" x14ac:dyDescent="0.35">
      <c r="A628">
        <v>637</v>
      </c>
      <c r="B628">
        <v>45</v>
      </c>
      <c r="C628" s="1" t="s">
        <v>10</v>
      </c>
      <c r="D628" s="1" t="s">
        <v>28</v>
      </c>
      <c r="E628" s="1" t="s">
        <v>29</v>
      </c>
      <c r="F628">
        <v>8000</v>
      </c>
      <c r="G628">
        <v>48</v>
      </c>
      <c r="H628" s="1" t="s">
        <v>13</v>
      </c>
      <c r="I628" s="1" t="s">
        <v>14</v>
      </c>
      <c r="J628">
        <v>3</v>
      </c>
      <c r="K628" t="s">
        <v>49</v>
      </c>
      <c r="L628" t="s">
        <v>59</v>
      </c>
      <c r="M628" t="s">
        <v>52</v>
      </c>
    </row>
    <row r="629" spans="1:13" x14ac:dyDescent="0.35">
      <c r="A629">
        <v>638</v>
      </c>
      <c r="B629">
        <v>40</v>
      </c>
      <c r="C629" s="1" t="s">
        <v>15</v>
      </c>
      <c r="D629" s="1" t="s">
        <v>30</v>
      </c>
      <c r="E629" s="1" t="s">
        <v>31</v>
      </c>
      <c r="F629">
        <v>3000</v>
      </c>
      <c r="G629">
        <v>48</v>
      </c>
      <c r="H629" s="1" t="s">
        <v>13</v>
      </c>
      <c r="I629" s="1" t="s">
        <v>14</v>
      </c>
      <c r="J629">
        <v>4</v>
      </c>
      <c r="K629" t="s">
        <v>49</v>
      </c>
      <c r="L629" t="s">
        <v>59</v>
      </c>
      <c r="M629" t="s">
        <v>51</v>
      </c>
    </row>
    <row r="630" spans="1:13" x14ac:dyDescent="0.35">
      <c r="A630">
        <v>639</v>
      </c>
      <c r="B630">
        <v>78</v>
      </c>
      <c r="C630" s="1" t="s">
        <v>10</v>
      </c>
      <c r="D630" s="1" t="s">
        <v>32</v>
      </c>
      <c r="E630" s="1" t="s">
        <v>33</v>
      </c>
      <c r="F630">
        <v>18000</v>
      </c>
      <c r="G630">
        <v>50</v>
      </c>
      <c r="H630" s="1" t="s">
        <v>18</v>
      </c>
      <c r="I630" s="1" t="s">
        <v>19</v>
      </c>
      <c r="J630">
        <v>2</v>
      </c>
      <c r="K630" t="s">
        <v>55</v>
      </c>
      <c r="L630" t="s">
        <v>59</v>
      </c>
      <c r="M630" t="s">
        <v>57</v>
      </c>
    </row>
    <row r="631" spans="1:13" x14ac:dyDescent="0.35">
      <c r="A631">
        <v>640</v>
      </c>
      <c r="B631">
        <v>25</v>
      </c>
      <c r="C631" s="1" t="s">
        <v>15</v>
      </c>
      <c r="D631" s="1" t="s">
        <v>34</v>
      </c>
      <c r="E631" s="1" t="s">
        <v>35</v>
      </c>
      <c r="F631">
        <v>100</v>
      </c>
      <c r="G631">
        <v>43</v>
      </c>
      <c r="H631" s="1" t="s">
        <v>13</v>
      </c>
      <c r="I631" s="1" t="s">
        <v>14</v>
      </c>
      <c r="J631">
        <v>5</v>
      </c>
      <c r="K631" t="s">
        <v>53</v>
      </c>
      <c r="L631" t="s">
        <v>59</v>
      </c>
      <c r="M631" t="s">
        <v>51</v>
      </c>
    </row>
    <row r="632" spans="1:13" x14ac:dyDescent="0.35">
      <c r="A632">
        <v>641</v>
      </c>
      <c r="B632">
        <v>52</v>
      </c>
      <c r="C632" s="1" t="s">
        <v>10</v>
      </c>
      <c r="D632" s="1" t="s">
        <v>36</v>
      </c>
      <c r="E632" s="1" t="s">
        <v>37</v>
      </c>
      <c r="F632">
        <v>800</v>
      </c>
      <c r="G632">
        <v>44</v>
      </c>
      <c r="H632" s="1" t="s">
        <v>13</v>
      </c>
      <c r="I632" s="1" t="s">
        <v>19</v>
      </c>
      <c r="J632">
        <v>4</v>
      </c>
      <c r="K632" t="s">
        <v>49</v>
      </c>
      <c r="L632" t="s">
        <v>59</v>
      </c>
      <c r="M632" t="s">
        <v>51</v>
      </c>
    </row>
    <row r="633" spans="1:13" x14ac:dyDescent="0.35">
      <c r="A633">
        <v>642</v>
      </c>
      <c r="B633">
        <v>58</v>
      </c>
      <c r="C633" s="1" t="s">
        <v>15</v>
      </c>
      <c r="D633" s="1" t="s">
        <v>38</v>
      </c>
      <c r="E633" s="1" t="s">
        <v>39</v>
      </c>
      <c r="F633">
        <v>20000</v>
      </c>
      <c r="G633">
        <v>51</v>
      </c>
      <c r="H633" s="1" t="s">
        <v>13</v>
      </c>
      <c r="I633" s="1" t="s">
        <v>14</v>
      </c>
      <c r="J633">
        <v>3</v>
      </c>
      <c r="K633" t="s">
        <v>49</v>
      </c>
      <c r="L633" t="s">
        <v>59</v>
      </c>
      <c r="M633" t="s">
        <v>52</v>
      </c>
    </row>
    <row r="634" spans="1:13" x14ac:dyDescent="0.35">
      <c r="A634">
        <v>643</v>
      </c>
      <c r="B634">
        <v>32</v>
      </c>
      <c r="C634" s="1" t="s">
        <v>10</v>
      </c>
      <c r="D634" s="1" t="s">
        <v>40</v>
      </c>
      <c r="E634" s="1" t="s">
        <v>41</v>
      </c>
      <c r="F634">
        <v>12000</v>
      </c>
      <c r="G634">
        <v>45</v>
      </c>
      <c r="H634" s="1" t="s">
        <v>13</v>
      </c>
      <c r="I634" s="1" t="s">
        <v>14</v>
      </c>
      <c r="J634">
        <v>4</v>
      </c>
      <c r="K634" t="s">
        <v>53</v>
      </c>
      <c r="L634" t="s">
        <v>59</v>
      </c>
      <c r="M634" t="s">
        <v>51</v>
      </c>
    </row>
    <row r="635" spans="1:13" x14ac:dyDescent="0.35">
      <c r="A635">
        <v>644</v>
      </c>
      <c r="B635">
        <v>55</v>
      </c>
      <c r="C635" s="1" t="s">
        <v>15</v>
      </c>
      <c r="D635" s="1" t="s">
        <v>42</v>
      </c>
      <c r="E635" s="1" t="s">
        <v>43</v>
      </c>
      <c r="F635">
        <v>6000</v>
      </c>
      <c r="G635">
        <v>46</v>
      </c>
      <c r="H635" s="1" t="s">
        <v>13</v>
      </c>
      <c r="I635" s="1" t="s">
        <v>14</v>
      </c>
      <c r="J635">
        <v>3</v>
      </c>
      <c r="K635" t="s">
        <v>49</v>
      </c>
      <c r="L635" t="s">
        <v>59</v>
      </c>
      <c r="M635" t="s">
        <v>52</v>
      </c>
    </row>
    <row r="636" spans="1:13" x14ac:dyDescent="0.35">
      <c r="A636">
        <v>645</v>
      </c>
      <c r="B636">
        <v>65</v>
      </c>
      <c r="C636" s="1" t="s">
        <v>10</v>
      </c>
      <c r="D636" s="1" t="s">
        <v>44</v>
      </c>
      <c r="E636" s="1" t="s">
        <v>45</v>
      </c>
      <c r="F636">
        <v>4000</v>
      </c>
      <c r="G636">
        <v>47</v>
      </c>
      <c r="H636" s="1" t="s">
        <v>13</v>
      </c>
      <c r="I636" s="1" t="s">
        <v>19</v>
      </c>
      <c r="J636">
        <v>4</v>
      </c>
      <c r="K636" t="s">
        <v>55</v>
      </c>
      <c r="L636" t="s">
        <v>59</v>
      </c>
      <c r="M636" t="s">
        <v>51</v>
      </c>
    </row>
    <row r="637" spans="1:13" x14ac:dyDescent="0.35">
      <c r="A637">
        <v>646</v>
      </c>
      <c r="B637">
        <v>55</v>
      </c>
      <c r="C637" s="1" t="s">
        <v>10</v>
      </c>
      <c r="D637" s="1" t="s">
        <v>11</v>
      </c>
      <c r="E637" s="1" t="s">
        <v>12</v>
      </c>
      <c r="F637">
        <v>15000</v>
      </c>
      <c r="G637">
        <v>48</v>
      </c>
      <c r="H637" s="1" t="s">
        <v>18</v>
      </c>
      <c r="I637" s="1" t="s">
        <v>14</v>
      </c>
      <c r="J637">
        <v>3</v>
      </c>
      <c r="K637" t="s">
        <v>49</v>
      </c>
      <c r="L637" t="s">
        <v>59</v>
      </c>
      <c r="M637" t="s">
        <v>52</v>
      </c>
    </row>
    <row r="638" spans="1:13" x14ac:dyDescent="0.35">
      <c r="A638">
        <v>647</v>
      </c>
      <c r="B638">
        <v>62</v>
      </c>
      <c r="C638" s="1" t="s">
        <v>15</v>
      </c>
      <c r="D638" s="1" t="s">
        <v>16</v>
      </c>
      <c r="E638" s="1" t="s">
        <v>17</v>
      </c>
      <c r="F638">
        <v>2000</v>
      </c>
      <c r="G638">
        <v>46</v>
      </c>
      <c r="H638" s="1" t="s">
        <v>13</v>
      </c>
      <c r="I638" s="1" t="s">
        <v>19</v>
      </c>
      <c r="J638">
        <v>4</v>
      </c>
      <c r="K638" t="s">
        <v>55</v>
      </c>
      <c r="L638" t="s">
        <v>59</v>
      </c>
      <c r="M638" t="s">
        <v>51</v>
      </c>
    </row>
    <row r="639" spans="1:13" x14ac:dyDescent="0.35">
      <c r="A639">
        <v>648</v>
      </c>
      <c r="B639">
        <v>35</v>
      </c>
      <c r="C639" s="1" t="s">
        <v>10</v>
      </c>
      <c r="D639" s="1" t="s">
        <v>20</v>
      </c>
      <c r="E639" s="1" t="s">
        <v>21</v>
      </c>
      <c r="F639">
        <v>500</v>
      </c>
      <c r="G639">
        <v>44</v>
      </c>
      <c r="H639" s="1" t="s">
        <v>18</v>
      </c>
      <c r="I639" s="1" t="s">
        <v>14</v>
      </c>
      <c r="J639">
        <v>5</v>
      </c>
      <c r="K639" t="s">
        <v>53</v>
      </c>
      <c r="L639" t="s">
        <v>59</v>
      </c>
      <c r="M639" t="s">
        <v>51</v>
      </c>
    </row>
    <row r="640" spans="1:13" x14ac:dyDescent="0.35">
      <c r="A640">
        <v>649</v>
      </c>
      <c r="B640">
        <v>78</v>
      </c>
      <c r="C640" s="1" t="s">
        <v>15</v>
      </c>
      <c r="D640" s="1" t="s">
        <v>22</v>
      </c>
      <c r="E640" s="1" t="s">
        <v>23</v>
      </c>
      <c r="F640">
        <v>10000</v>
      </c>
      <c r="G640">
        <v>51</v>
      </c>
      <c r="H640" s="1" t="s">
        <v>13</v>
      </c>
      <c r="I640" s="1" t="s">
        <v>19</v>
      </c>
      <c r="J640">
        <v>2</v>
      </c>
      <c r="K640" t="s">
        <v>55</v>
      </c>
      <c r="L640" t="s">
        <v>59</v>
      </c>
      <c r="M640" t="s">
        <v>57</v>
      </c>
    </row>
    <row r="641" spans="1:13" x14ac:dyDescent="0.35">
      <c r="A641">
        <v>650</v>
      </c>
      <c r="B641">
        <v>53</v>
      </c>
      <c r="C641" s="1" t="s">
        <v>10</v>
      </c>
      <c r="D641" s="1" t="s">
        <v>24</v>
      </c>
      <c r="E641" s="1" t="s">
        <v>25</v>
      </c>
      <c r="F641">
        <v>25000</v>
      </c>
      <c r="G641">
        <v>53</v>
      </c>
      <c r="H641" s="1" t="s">
        <v>18</v>
      </c>
      <c r="I641" s="1" t="s">
        <v>14</v>
      </c>
      <c r="J641">
        <v>4</v>
      </c>
      <c r="K641" t="s">
        <v>49</v>
      </c>
      <c r="L641" t="s">
        <v>59</v>
      </c>
      <c r="M641" t="s">
        <v>51</v>
      </c>
    </row>
    <row r="642" spans="1:13" x14ac:dyDescent="0.35">
      <c r="A642">
        <v>651</v>
      </c>
      <c r="B642">
        <v>72</v>
      </c>
      <c r="C642" s="1" t="s">
        <v>15</v>
      </c>
      <c r="D642" s="1" t="s">
        <v>26</v>
      </c>
      <c r="E642" s="1" t="s">
        <v>27</v>
      </c>
      <c r="F642">
        <v>1000</v>
      </c>
      <c r="G642">
        <v>47</v>
      </c>
      <c r="H642" s="1" t="s">
        <v>13</v>
      </c>
      <c r="I642" s="1" t="s">
        <v>19</v>
      </c>
      <c r="J642">
        <v>4</v>
      </c>
      <c r="K642" t="s">
        <v>55</v>
      </c>
      <c r="L642" t="s">
        <v>59</v>
      </c>
      <c r="M642" t="s">
        <v>51</v>
      </c>
    </row>
    <row r="643" spans="1:13" x14ac:dyDescent="0.35">
      <c r="A643">
        <v>652</v>
      </c>
      <c r="B643">
        <v>60</v>
      </c>
      <c r="C643" s="1" t="s">
        <v>10</v>
      </c>
      <c r="D643" s="1" t="s">
        <v>28</v>
      </c>
      <c r="E643" s="1" t="s">
        <v>29</v>
      </c>
      <c r="F643">
        <v>8000</v>
      </c>
      <c r="G643">
        <v>49</v>
      </c>
      <c r="H643" s="1" t="s">
        <v>18</v>
      </c>
      <c r="I643" s="1" t="s">
        <v>14</v>
      </c>
      <c r="J643">
        <v>3</v>
      </c>
      <c r="K643" t="s">
        <v>49</v>
      </c>
      <c r="L643" t="s">
        <v>59</v>
      </c>
      <c r="M643" t="s">
        <v>52</v>
      </c>
    </row>
    <row r="644" spans="1:13" x14ac:dyDescent="0.35">
      <c r="A644">
        <v>653</v>
      </c>
      <c r="B644">
        <v>45</v>
      </c>
      <c r="C644" s="1" t="s">
        <v>15</v>
      </c>
      <c r="D644" s="1" t="s">
        <v>30</v>
      </c>
      <c r="E644" s="1" t="s">
        <v>31</v>
      </c>
      <c r="F644">
        <v>3000</v>
      </c>
      <c r="G644">
        <v>49</v>
      </c>
      <c r="H644" s="1" t="s">
        <v>13</v>
      </c>
      <c r="I644" s="1" t="s">
        <v>14</v>
      </c>
      <c r="J644">
        <v>4</v>
      </c>
      <c r="K644" t="s">
        <v>49</v>
      </c>
      <c r="L644" t="s">
        <v>59</v>
      </c>
      <c r="M644" t="s">
        <v>51</v>
      </c>
    </row>
    <row r="645" spans="1:13" x14ac:dyDescent="0.35">
      <c r="A645">
        <v>654</v>
      </c>
      <c r="B645">
        <v>75</v>
      </c>
      <c r="C645" s="1" t="s">
        <v>10</v>
      </c>
      <c r="D645" s="1" t="s">
        <v>32</v>
      </c>
      <c r="E645" s="1" t="s">
        <v>33</v>
      </c>
      <c r="F645">
        <v>18000</v>
      </c>
      <c r="G645">
        <v>51</v>
      </c>
      <c r="H645" s="1" t="s">
        <v>18</v>
      </c>
      <c r="I645" s="1" t="s">
        <v>19</v>
      </c>
      <c r="J645">
        <v>2</v>
      </c>
      <c r="K645" t="s">
        <v>55</v>
      </c>
      <c r="L645" t="s">
        <v>59</v>
      </c>
      <c r="M645" t="s">
        <v>57</v>
      </c>
    </row>
    <row r="646" spans="1:13" x14ac:dyDescent="0.35">
      <c r="A646">
        <v>655</v>
      </c>
      <c r="B646">
        <v>28</v>
      </c>
      <c r="C646" s="1" t="s">
        <v>15</v>
      </c>
      <c r="D646" s="1" t="s">
        <v>34</v>
      </c>
      <c r="E646" s="1" t="s">
        <v>35</v>
      </c>
      <c r="F646">
        <v>100</v>
      </c>
      <c r="G646">
        <v>44</v>
      </c>
      <c r="H646" s="1" t="s">
        <v>13</v>
      </c>
      <c r="I646" s="1" t="s">
        <v>14</v>
      </c>
      <c r="J646">
        <v>5</v>
      </c>
      <c r="K646" t="s">
        <v>53</v>
      </c>
      <c r="L646" t="s">
        <v>59</v>
      </c>
      <c r="M646" t="s">
        <v>51</v>
      </c>
    </row>
    <row r="647" spans="1:13" x14ac:dyDescent="0.35">
      <c r="A647">
        <v>656</v>
      </c>
      <c r="B647">
        <v>52</v>
      </c>
      <c r="C647" s="1" t="s">
        <v>10</v>
      </c>
      <c r="D647" s="1" t="s">
        <v>36</v>
      </c>
      <c r="E647" s="1" t="s">
        <v>37</v>
      </c>
      <c r="F647">
        <v>800</v>
      </c>
      <c r="G647">
        <v>45</v>
      </c>
      <c r="H647" s="1" t="s">
        <v>13</v>
      </c>
      <c r="I647" s="1" t="s">
        <v>19</v>
      </c>
      <c r="J647">
        <v>4</v>
      </c>
      <c r="K647" t="s">
        <v>49</v>
      </c>
      <c r="L647" t="s">
        <v>59</v>
      </c>
      <c r="M647" t="s">
        <v>51</v>
      </c>
    </row>
    <row r="648" spans="1:13" x14ac:dyDescent="0.35">
      <c r="A648">
        <v>657</v>
      </c>
      <c r="B648">
        <v>67</v>
      </c>
      <c r="C648" s="1" t="s">
        <v>15</v>
      </c>
      <c r="D648" s="1" t="s">
        <v>38</v>
      </c>
      <c r="E648" s="1" t="s">
        <v>39</v>
      </c>
      <c r="F648">
        <v>20000</v>
      </c>
      <c r="G648">
        <v>52</v>
      </c>
      <c r="H648" s="1" t="s">
        <v>13</v>
      </c>
      <c r="I648" s="1" t="s">
        <v>14</v>
      </c>
      <c r="J648">
        <v>3</v>
      </c>
      <c r="K648" t="s">
        <v>55</v>
      </c>
      <c r="L648" t="s">
        <v>59</v>
      </c>
      <c r="M648" t="s">
        <v>52</v>
      </c>
    </row>
    <row r="649" spans="1:13" x14ac:dyDescent="0.35">
      <c r="A649">
        <v>658</v>
      </c>
      <c r="B649">
        <v>35</v>
      </c>
      <c r="C649" s="1" t="s">
        <v>10</v>
      </c>
      <c r="D649" s="1" t="s">
        <v>40</v>
      </c>
      <c r="E649" s="1" t="s">
        <v>41</v>
      </c>
      <c r="F649">
        <v>12000</v>
      </c>
      <c r="G649">
        <v>46</v>
      </c>
      <c r="H649" s="1" t="s">
        <v>13</v>
      </c>
      <c r="I649" s="1" t="s">
        <v>14</v>
      </c>
      <c r="J649">
        <v>4</v>
      </c>
      <c r="K649" t="s">
        <v>53</v>
      </c>
      <c r="L649" t="s">
        <v>59</v>
      </c>
      <c r="M649" t="s">
        <v>51</v>
      </c>
    </row>
    <row r="650" spans="1:13" x14ac:dyDescent="0.35">
      <c r="A650">
        <v>659</v>
      </c>
      <c r="B650">
        <v>50</v>
      </c>
      <c r="C650" s="1" t="s">
        <v>15</v>
      </c>
      <c r="D650" s="1" t="s">
        <v>42</v>
      </c>
      <c r="E650" s="1" t="s">
        <v>43</v>
      </c>
      <c r="F650">
        <v>6000</v>
      </c>
      <c r="G650">
        <v>47</v>
      </c>
      <c r="H650" s="1" t="s">
        <v>13</v>
      </c>
      <c r="I650" s="1" t="s">
        <v>14</v>
      </c>
      <c r="J650">
        <v>3</v>
      </c>
      <c r="K650" t="s">
        <v>49</v>
      </c>
      <c r="L650" t="s">
        <v>59</v>
      </c>
      <c r="M650" t="s">
        <v>52</v>
      </c>
    </row>
    <row r="651" spans="1:13" x14ac:dyDescent="0.35">
      <c r="A651">
        <v>660</v>
      </c>
      <c r="B651">
        <v>60</v>
      </c>
      <c r="C651" s="1" t="s">
        <v>10</v>
      </c>
      <c r="D651" s="1" t="s">
        <v>44</v>
      </c>
      <c r="E651" s="1" t="s">
        <v>45</v>
      </c>
      <c r="F651">
        <v>4000</v>
      </c>
      <c r="G651">
        <v>48</v>
      </c>
      <c r="H651" s="1" t="s">
        <v>13</v>
      </c>
      <c r="I651" s="1" t="s">
        <v>19</v>
      </c>
      <c r="J651">
        <v>4</v>
      </c>
      <c r="K651" t="s">
        <v>49</v>
      </c>
      <c r="L651" t="s">
        <v>59</v>
      </c>
      <c r="M651" t="s">
        <v>51</v>
      </c>
    </row>
    <row r="652" spans="1:13" x14ac:dyDescent="0.35">
      <c r="A652">
        <v>662</v>
      </c>
      <c r="B652">
        <v>65</v>
      </c>
      <c r="C652" s="1" t="s">
        <v>15</v>
      </c>
      <c r="D652" s="1" t="s">
        <v>16</v>
      </c>
      <c r="E652" s="1" t="s">
        <v>17</v>
      </c>
      <c r="F652">
        <v>2000</v>
      </c>
      <c r="G652">
        <v>47</v>
      </c>
      <c r="H652" s="1" t="s">
        <v>13</v>
      </c>
      <c r="I652" s="1" t="s">
        <v>19</v>
      </c>
      <c r="J652">
        <v>3</v>
      </c>
      <c r="K652" t="s">
        <v>55</v>
      </c>
      <c r="L652" t="s">
        <v>59</v>
      </c>
      <c r="M652" t="s">
        <v>52</v>
      </c>
    </row>
    <row r="653" spans="1:13" x14ac:dyDescent="0.35">
      <c r="A653">
        <v>663</v>
      </c>
      <c r="B653">
        <v>30</v>
      </c>
      <c r="C653" s="1" t="s">
        <v>10</v>
      </c>
      <c r="D653" s="1" t="s">
        <v>20</v>
      </c>
      <c r="E653" s="1" t="s">
        <v>21</v>
      </c>
      <c r="F653">
        <v>500</v>
      </c>
      <c r="G653">
        <v>45</v>
      </c>
      <c r="H653" s="1" t="s">
        <v>13</v>
      </c>
      <c r="I653" s="1" t="s">
        <v>14</v>
      </c>
      <c r="J653">
        <v>5</v>
      </c>
      <c r="K653" t="s">
        <v>53</v>
      </c>
      <c r="L653" t="s">
        <v>59</v>
      </c>
      <c r="M653" t="s">
        <v>51</v>
      </c>
    </row>
    <row r="654" spans="1:13" x14ac:dyDescent="0.35">
      <c r="A654">
        <v>664</v>
      </c>
      <c r="B654">
        <v>70</v>
      </c>
      <c r="C654" s="1" t="s">
        <v>15</v>
      </c>
      <c r="D654" s="1" t="s">
        <v>22</v>
      </c>
      <c r="E654" s="1" t="s">
        <v>23</v>
      </c>
      <c r="F654">
        <v>10000</v>
      </c>
      <c r="G654">
        <v>52</v>
      </c>
      <c r="H654" s="1" t="s">
        <v>18</v>
      </c>
      <c r="I654" s="1" t="s">
        <v>19</v>
      </c>
      <c r="J654">
        <v>2</v>
      </c>
      <c r="K654" t="s">
        <v>55</v>
      </c>
      <c r="L654" t="s">
        <v>59</v>
      </c>
      <c r="M654" t="s">
        <v>57</v>
      </c>
    </row>
    <row r="655" spans="1:13" x14ac:dyDescent="0.35">
      <c r="A655">
        <v>665</v>
      </c>
      <c r="B655">
        <v>55</v>
      </c>
      <c r="C655" s="1" t="s">
        <v>10</v>
      </c>
      <c r="D655" s="1" t="s">
        <v>24</v>
      </c>
      <c r="E655" s="1" t="s">
        <v>25</v>
      </c>
      <c r="F655">
        <v>25000</v>
      </c>
      <c r="G655">
        <v>54</v>
      </c>
      <c r="H655" s="1" t="s">
        <v>13</v>
      </c>
      <c r="I655" s="1" t="s">
        <v>14</v>
      </c>
      <c r="J655">
        <v>4</v>
      </c>
      <c r="K655" t="s">
        <v>49</v>
      </c>
      <c r="L655" t="s">
        <v>59</v>
      </c>
      <c r="M655" t="s">
        <v>51</v>
      </c>
    </row>
    <row r="656" spans="1:13" x14ac:dyDescent="0.35">
      <c r="A656">
        <v>666</v>
      </c>
      <c r="B656">
        <v>68</v>
      </c>
      <c r="C656" s="1" t="s">
        <v>15</v>
      </c>
      <c r="D656" s="1" t="s">
        <v>26</v>
      </c>
      <c r="E656" s="1" t="s">
        <v>27</v>
      </c>
      <c r="F656">
        <v>1000</v>
      </c>
      <c r="G656">
        <v>48</v>
      </c>
      <c r="H656" s="1" t="s">
        <v>13</v>
      </c>
      <c r="I656" s="1" t="s">
        <v>19</v>
      </c>
      <c r="J656">
        <v>4</v>
      </c>
      <c r="K656" t="s">
        <v>55</v>
      </c>
      <c r="L656" t="s">
        <v>59</v>
      </c>
      <c r="M656" t="s">
        <v>51</v>
      </c>
    </row>
    <row r="657" spans="1:13" x14ac:dyDescent="0.35">
      <c r="A657">
        <v>667</v>
      </c>
      <c r="B657">
        <v>45</v>
      </c>
      <c r="C657" s="1" t="s">
        <v>10</v>
      </c>
      <c r="D657" s="1" t="s">
        <v>28</v>
      </c>
      <c r="E657" s="1" t="s">
        <v>29</v>
      </c>
      <c r="F657">
        <v>8000</v>
      </c>
      <c r="G657">
        <v>50</v>
      </c>
      <c r="H657" s="1" t="s">
        <v>13</v>
      </c>
      <c r="I657" s="1" t="s">
        <v>14</v>
      </c>
      <c r="J657">
        <v>3</v>
      </c>
      <c r="K657" t="s">
        <v>49</v>
      </c>
      <c r="L657" t="s">
        <v>59</v>
      </c>
      <c r="M657" t="s">
        <v>52</v>
      </c>
    </row>
    <row r="658" spans="1:13" x14ac:dyDescent="0.35">
      <c r="A658">
        <v>668</v>
      </c>
      <c r="B658">
        <v>40</v>
      </c>
      <c r="C658" s="1" t="s">
        <v>15</v>
      </c>
      <c r="D658" s="1" t="s">
        <v>30</v>
      </c>
      <c r="E658" s="1" t="s">
        <v>31</v>
      </c>
      <c r="F658">
        <v>3000</v>
      </c>
      <c r="G658">
        <v>50</v>
      </c>
      <c r="H658" s="1" t="s">
        <v>13</v>
      </c>
      <c r="I658" s="1" t="s">
        <v>14</v>
      </c>
      <c r="J658">
        <v>4</v>
      </c>
      <c r="K658" t="s">
        <v>49</v>
      </c>
      <c r="L658" t="s">
        <v>59</v>
      </c>
      <c r="M658" t="s">
        <v>51</v>
      </c>
    </row>
    <row r="659" spans="1:13" x14ac:dyDescent="0.35">
      <c r="A659">
        <v>669</v>
      </c>
      <c r="B659">
        <v>78</v>
      </c>
      <c r="C659" s="1" t="s">
        <v>10</v>
      </c>
      <c r="D659" s="1" t="s">
        <v>32</v>
      </c>
      <c r="E659" s="1" t="s">
        <v>33</v>
      </c>
      <c r="F659">
        <v>18000</v>
      </c>
      <c r="G659">
        <v>52</v>
      </c>
      <c r="H659" s="1" t="s">
        <v>18</v>
      </c>
      <c r="I659" s="1" t="s">
        <v>19</v>
      </c>
      <c r="J659">
        <v>2</v>
      </c>
      <c r="K659" t="s">
        <v>55</v>
      </c>
      <c r="L659" t="s">
        <v>59</v>
      </c>
      <c r="M659" t="s">
        <v>57</v>
      </c>
    </row>
    <row r="660" spans="1:13" x14ac:dyDescent="0.35">
      <c r="A660">
        <v>670</v>
      </c>
      <c r="B660">
        <v>25</v>
      </c>
      <c r="C660" s="1" t="s">
        <v>15</v>
      </c>
      <c r="D660" s="1" t="s">
        <v>34</v>
      </c>
      <c r="E660" s="1" t="s">
        <v>35</v>
      </c>
      <c r="F660">
        <v>100</v>
      </c>
      <c r="G660">
        <v>45</v>
      </c>
      <c r="H660" s="1" t="s">
        <v>13</v>
      </c>
      <c r="I660" s="1" t="s">
        <v>14</v>
      </c>
      <c r="J660">
        <v>5</v>
      </c>
      <c r="K660" t="s">
        <v>53</v>
      </c>
      <c r="L660" t="s">
        <v>59</v>
      </c>
      <c r="M660" t="s">
        <v>51</v>
      </c>
    </row>
    <row r="661" spans="1:13" x14ac:dyDescent="0.35">
      <c r="A661">
        <v>671</v>
      </c>
      <c r="B661">
        <v>52</v>
      </c>
      <c r="C661" s="1" t="s">
        <v>10</v>
      </c>
      <c r="D661" s="1" t="s">
        <v>36</v>
      </c>
      <c r="E661" s="1" t="s">
        <v>37</v>
      </c>
      <c r="F661">
        <v>800</v>
      </c>
      <c r="G661">
        <v>46</v>
      </c>
      <c r="H661" s="1" t="s">
        <v>13</v>
      </c>
      <c r="I661" s="1" t="s">
        <v>19</v>
      </c>
      <c r="J661">
        <v>4</v>
      </c>
      <c r="K661" t="s">
        <v>49</v>
      </c>
      <c r="L661" t="s">
        <v>59</v>
      </c>
      <c r="M661" t="s">
        <v>51</v>
      </c>
    </row>
    <row r="662" spans="1:13" x14ac:dyDescent="0.35">
      <c r="A662">
        <v>672</v>
      </c>
      <c r="B662">
        <v>58</v>
      </c>
      <c r="C662" s="1" t="s">
        <v>15</v>
      </c>
      <c r="D662" s="1" t="s">
        <v>38</v>
      </c>
      <c r="E662" s="1" t="s">
        <v>39</v>
      </c>
      <c r="F662">
        <v>20000</v>
      </c>
      <c r="G662">
        <v>53</v>
      </c>
      <c r="H662" s="1" t="s">
        <v>13</v>
      </c>
      <c r="I662" s="1" t="s">
        <v>14</v>
      </c>
      <c r="J662">
        <v>3</v>
      </c>
      <c r="K662" t="s">
        <v>49</v>
      </c>
      <c r="L662" t="s">
        <v>59</v>
      </c>
      <c r="M662" t="s">
        <v>52</v>
      </c>
    </row>
    <row r="663" spans="1:13" x14ac:dyDescent="0.35">
      <c r="A663">
        <v>673</v>
      </c>
      <c r="B663">
        <v>32</v>
      </c>
      <c r="C663" s="1" t="s">
        <v>10</v>
      </c>
      <c r="D663" s="1" t="s">
        <v>40</v>
      </c>
      <c r="E663" s="1" t="s">
        <v>41</v>
      </c>
      <c r="F663">
        <v>12000</v>
      </c>
      <c r="G663">
        <v>47</v>
      </c>
      <c r="H663" s="1" t="s">
        <v>13</v>
      </c>
      <c r="I663" s="1" t="s">
        <v>14</v>
      </c>
      <c r="J663">
        <v>4</v>
      </c>
      <c r="K663" t="s">
        <v>53</v>
      </c>
      <c r="L663" t="s">
        <v>59</v>
      </c>
      <c r="M663" t="s">
        <v>51</v>
      </c>
    </row>
    <row r="664" spans="1:13" x14ac:dyDescent="0.35">
      <c r="A664">
        <v>674</v>
      </c>
      <c r="B664">
        <v>55</v>
      </c>
      <c r="C664" s="1" t="s">
        <v>15</v>
      </c>
      <c r="D664" s="1" t="s">
        <v>42</v>
      </c>
      <c r="E664" s="1" t="s">
        <v>43</v>
      </c>
      <c r="F664">
        <v>6000</v>
      </c>
      <c r="G664">
        <v>48</v>
      </c>
      <c r="H664" s="1" t="s">
        <v>13</v>
      </c>
      <c r="I664" s="1" t="s">
        <v>14</v>
      </c>
      <c r="J664">
        <v>3</v>
      </c>
      <c r="K664" t="s">
        <v>49</v>
      </c>
      <c r="L664" t="s">
        <v>59</v>
      </c>
      <c r="M664" t="s">
        <v>52</v>
      </c>
    </row>
    <row r="665" spans="1:13" x14ac:dyDescent="0.35">
      <c r="A665">
        <v>675</v>
      </c>
      <c r="B665">
        <v>65</v>
      </c>
      <c r="C665" s="1" t="s">
        <v>10</v>
      </c>
      <c r="D665" s="1" t="s">
        <v>44</v>
      </c>
      <c r="E665" s="1" t="s">
        <v>45</v>
      </c>
      <c r="F665">
        <v>4000</v>
      </c>
      <c r="G665">
        <v>49</v>
      </c>
      <c r="H665" s="1" t="s">
        <v>13</v>
      </c>
      <c r="I665" s="1" t="s">
        <v>19</v>
      </c>
      <c r="J665">
        <v>4</v>
      </c>
      <c r="K665" t="s">
        <v>55</v>
      </c>
      <c r="L665" t="s">
        <v>59</v>
      </c>
      <c r="M665" t="s">
        <v>51</v>
      </c>
    </row>
    <row r="666" spans="1:13" x14ac:dyDescent="0.35">
      <c r="A666">
        <v>676</v>
      </c>
      <c r="B666">
        <v>55</v>
      </c>
      <c r="C666" s="1" t="s">
        <v>10</v>
      </c>
      <c r="D666" s="1" t="s">
        <v>11</v>
      </c>
      <c r="E666" s="1" t="s">
        <v>12</v>
      </c>
      <c r="F666">
        <v>15000</v>
      </c>
      <c r="G666">
        <v>50</v>
      </c>
      <c r="H666" s="1" t="s">
        <v>18</v>
      </c>
      <c r="I666" s="1" t="s">
        <v>14</v>
      </c>
      <c r="J666">
        <v>3</v>
      </c>
      <c r="K666" t="s">
        <v>49</v>
      </c>
      <c r="L666" t="s">
        <v>59</v>
      </c>
      <c r="M666" t="s">
        <v>52</v>
      </c>
    </row>
    <row r="667" spans="1:13" x14ac:dyDescent="0.35">
      <c r="A667">
        <v>677</v>
      </c>
      <c r="B667">
        <v>62</v>
      </c>
      <c r="C667" s="1" t="s">
        <v>15</v>
      </c>
      <c r="D667" s="1" t="s">
        <v>16</v>
      </c>
      <c r="E667" s="1" t="s">
        <v>17</v>
      </c>
      <c r="F667">
        <v>2000</v>
      </c>
      <c r="G667">
        <v>48</v>
      </c>
      <c r="H667" s="1" t="s">
        <v>13</v>
      </c>
      <c r="I667" s="1" t="s">
        <v>19</v>
      </c>
      <c r="J667">
        <v>4</v>
      </c>
      <c r="K667" t="s">
        <v>55</v>
      </c>
      <c r="L667" t="s">
        <v>59</v>
      </c>
      <c r="M667" t="s">
        <v>51</v>
      </c>
    </row>
    <row r="668" spans="1:13" x14ac:dyDescent="0.35">
      <c r="A668">
        <v>678</v>
      </c>
      <c r="B668">
        <v>35</v>
      </c>
      <c r="C668" s="1" t="s">
        <v>10</v>
      </c>
      <c r="D668" s="1" t="s">
        <v>20</v>
      </c>
      <c r="E668" s="1" t="s">
        <v>21</v>
      </c>
      <c r="F668">
        <v>500</v>
      </c>
      <c r="G668">
        <v>46</v>
      </c>
      <c r="H668" s="1" t="s">
        <v>18</v>
      </c>
      <c r="I668" s="1" t="s">
        <v>14</v>
      </c>
      <c r="J668">
        <v>5</v>
      </c>
      <c r="K668" t="s">
        <v>53</v>
      </c>
      <c r="L668" t="s">
        <v>59</v>
      </c>
      <c r="M668" t="s">
        <v>51</v>
      </c>
    </row>
    <row r="669" spans="1:13" x14ac:dyDescent="0.35">
      <c r="A669">
        <v>679</v>
      </c>
      <c r="B669">
        <v>78</v>
      </c>
      <c r="C669" s="1" t="s">
        <v>15</v>
      </c>
      <c r="D669" s="1" t="s">
        <v>22</v>
      </c>
      <c r="E669" s="1" t="s">
        <v>23</v>
      </c>
      <c r="F669">
        <v>10000</v>
      </c>
      <c r="G669">
        <v>53</v>
      </c>
      <c r="H669" s="1" t="s">
        <v>13</v>
      </c>
      <c r="I669" s="1" t="s">
        <v>19</v>
      </c>
      <c r="J669">
        <v>2</v>
      </c>
      <c r="K669" t="s">
        <v>55</v>
      </c>
      <c r="L669" t="s">
        <v>59</v>
      </c>
      <c r="M669" t="s">
        <v>57</v>
      </c>
    </row>
    <row r="670" spans="1:13" x14ac:dyDescent="0.35">
      <c r="A670">
        <v>680</v>
      </c>
      <c r="B670">
        <v>53</v>
      </c>
      <c r="C670" s="1" t="s">
        <v>10</v>
      </c>
      <c r="D670" s="1" t="s">
        <v>24</v>
      </c>
      <c r="E670" s="1" t="s">
        <v>25</v>
      </c>
      <c r="F670">
        <v>25000</v>
      </c>
      <c r="G670">
        <v>55</v>
      </c>
      <c r="H670" s="1" t="s">
        <v>18</v>
      </c>
      <c r="I670" s="1" t="s">
        <v>14</v>
      </c>
      <c r="J670">
        <v>4</v>
      </c>
      <c r="K670" t="s">
        <v>49</v>
      </c>
      <c r="L670" t="s">
        <v>59</v>
      </c>
      <c r="M670" t="s">
        <v>51</v>
      </c>
    </row>
    <row r="671" spans="1:13" x14ac:dyDescent="0.35">
      <c r="A671">
        <v>681</v>
      </c>
      <c r="B671">
        <v>72</v>
      </c>
      <c r="C671" s="1" t="s">
        <v>15</v>
      </c>
      <c r="D671" s="1" t="s">
        <v>26</v>
      </c>
      <c r="E671" s="1" t="s">
        <v>27</v>
      </c>
      <c r="F671">
        <v>1000</v>
      </c>
      <c r="G671">
        <v>49</v>
      </c>
      <c r="H671" s="1" t="s">
        <v>13</v>
      </c>
      <c r="I671" s="1" t="s">
        <v>19</v>
      </c>
      <c r="J671">
        <v>4</v>
      </c>
      <c r="K671" t="s">
        <v>55</v>
      </c>
      <c r="L671" t="s">
        <v>59</v>
      </c>
      <c r="M671" t="s">
        <v>51</v>
      </c>
    </row>
    <row r="672" spans="1:13" x14ac:dyDescent="0.35">
      <c r="A672">
        <v>682</v>
      </c>
      <c r="B672">
        <v>60</v>
      </c>
      <c r="C672" s="1" t="s">
        <v>10</v>
      </c>
      <c r="D672" s="1" t="s">
        <v>28</v>
      </c>
      <c r="E672" s="1" t="s">
        <v>29</v>
      </c>
      <c r="F672">
        <v>8000</v>
      </c>
      <c r="G672">
        <v>51</v>
      </c>
      <c r="H672" s="1" t="s">
        <v>18</v>
      </c>
      <c r="I672" s="1" t="s">
        <v>14</v>
      </c>
      <c r="J672">
        <v>3</v>
      </c>
      <c r="K672" t="s">
        <v>49</v>
      </c>
      <c r="L672" t="s">
        <v>59</v>
      </c>
      <c r="M672" t="s">
        <v>52</v>
      </c>
    </row>
    <row r="673" spans="1:13" x14ac:dyDescent="0.35">
      <c r="A673">
        <v>683</v>
      </c>
      <c r="B673">
        <v>45</v>
      </c>
      <c r="C673" s="1" t="s">
        <v>15</v>
      </c>
      <c r="D673" s="1" t="s">
        <v>30</v>
      </c>
      <c r="E673" s="1" t="s">
        <v>31</v>
      </c>
      <c r="F673">
        <v>3000</v>
      </c>
      <c r="G673">
        <v>51</v>
      </c>
      <c r="H673" s="1" t="s">
        <v>13</v>
      </c>
      <c r="I673" s="1" t="s">
        <v>14</v>
      </c>
      <c r="J673">
        <v>4</v>
      </c>
      <c r="K673" t="s">
        <v>49</v>
      </c>
      <c r="L673" t="s">
        <v>59</v>
      </c>
      <c r="M673" t="s">
        <v>51</v>
      </c>
    </row>
    <row r="674" spans="1:13" x14ac:dyDescent="0.35">
      <c r="A674">
        <v>684</v>
      </c>
      <c r="B674">
        <v>75</v>
      </c>
      <c r="C674" s="1" t="s">
        <v>10</v>
      </c>
      <c r="D674" s="1" t="s">
        <v>32</v>
      </c>
      <c r="E674" s="1" t="s">
        <v>33</v>
      </c>
      <c r="F674">
        <v>18000</v>
      </c>
      <c r="G674">
        <v>53</v>
      </c>
      <c r="H674" s="1" t="s">
        <v>18</v>
      </c>
      <c r="I674" s="1" t="s">
        <v>19</v>
      </c>
      <c r="J674">
        <v>2</v>
      </c>
      <c r="K674" t="s">
        <v>55</v>
      </c>
      <c r="L674" t="s">
        <v>59</v>
      </c>
      <c r="M674" t="s">
        <v>57</v>
      </c>
    </row>
    <row r="675" spans="1:13" x14ac:dyDescent="0.35">
      <c r="A675">
        <v>685</v>
      </c>
      <c r="B675">
        <v>28</v>
      </c>
      <c r="C675" s="1" t="s">
        <v>15</v>
      </c>
      <c r="D675" s="1" t="s">
        <v>34</v>
      </c>
      <c r="E675" s="1" t="s">
        <v>35</v>
      </c>
      <c r="F675">
        <v>100</v>
      </c>
      <c r="G675">
        <v>46</v>
      </c>
      <c r="H675" s="1" t="s">
        <v>13</v>
      </c>
      <c r="I675" s="1" t="s">
        <v>14</v>
      </c>
      <c r="J675">
        <v>5</v>
      </c>
      <c r="K675" t="s">
        <v>53</v>
      </c>
      <c r="L675" t="s">
        <v>59</v>
      </c>
      <c r="M675" t="s">
        <v>51</v>
      </c>
    </row>
    <row r="676" spans="1:13" x14ac:dyDescent="0.35">
      <c r="A676">
        <v>686</v>
      </c>
      <c r="B676">
        <v>52</v>
      </c>
      <c r="C676" s="1" t="s">
        <v>10</v>
      </c>
      <c r="D676" s="1" t="s">
        <v>36</v>
      </c>
      <c r="E676" s="1" t="s">
        <v>37</v>
      </c>
      <c r="F676">
        <v>800</v>
      </c>
      <c r="G676">
        <v>47</v>
      </c>
      <c r="H676" s="1" t="s">
        <v>13</v>
      </c>
      <c r="I676" s="1" t="s">
        <v>19</v>
      </c>
      <c r="J676">
        <v>4</v>
      </c>
      <c r="K676" t="s">
        <v>49</v>
      </c>
      <c r="L676" t="s">
        <v>59</v>
      </c>
      <c r="M676" t="s">
        <v>51</v>
      </c>
    </row>
    <row r="677" spans="1:13" x14ac:dyDescent="0.35">
      <c r="A677">
        <v>687</v>
      </c>
      <c r="B677">
        <v>67</v>
      </c>
      <c r="C677" s="1" t="s">
        <v>15</v>
      </c>
      <c r="D677" s="1" t="s">
        <v>38</v>
      </c>
      <c r="E677" s="1" t="s">
        <v>39</v>
      </c>
      <c r="F677">
        <v>20000</v>
      </c>
      <c r="G677">
        <v>54</v>
      </c>
      <c r="H677" s="1" t="s">
        <v>13</v>
      </c>
      <c r="I677" s="1" t="s">
        <v>14</v>
      </c>
      <c r="J677">
        <v>3</v>
      </c>
      <c r="K677" t="s">
        <v>55</v>
      </c>
      <c r="L677" t="s">
        <v>59</v>
      </c>
      <c r="M677" t="s">
        <v>52</v>
      </c>
    </row>
    <row r="678" spans="1:13" x14ac:dyDescent="0.35">
      <c r="A678">
        <v>688</v>
      </c>
      <c r="B678">
        <v>35</v>
      </c>
      <c r="C678" s="1" t="s">
        <v>10</v>
      </c>
      <c r="D678" s="1" t="s">
        <v>40</v>
      </c>
      <c r="E678" s="1" t="s">
        <v>41</v>
      </c>
      <c r="F678">
        <v>12000</v>
      </c>
      <c r="G678">
        <v>48</v>
      </c>
      <c r="H678" s="1" t="s">
        <v>13</v>
      </c>
      <c r="I678" s="1" t="s">
        <v>14</v>
      </c>
      <c r="J678">
        <v>4</v>
      </c>
      <c r="K678" t="s">
        <v>53</v>
      </c>
      <c r="L678" t="s">
        <v>59</v>
      </c>
      <c r="M678" t="s">
        <v>51</v>
      </c>
    </row>
    <row r="679" spans="1:13" x14ac:dyDescent="0.35">
      <c r="A679">
        <v>689</v>
      </c>
      <c r="B679">
        <v>50</v>
      </c>
      <c r="C679" s="1" t="s">
        <v>15</v>
      </c>
      <c r="D679" s="1" t="s">
        <v>42</v>
      </c>
      <c r="E679" s="1" t="s">
        <v>43</v>
      </c>
      <c r="F679">
        <v>6000</v>
      </c>
      <c r="G679">
        <v>49</v>
      </c>
      <c r="H679" s="1" t="s">
        <v>13</v>
      </c>
      <c r="I679" s="1" t="s">
        <v>14</v>
      </c>
      <c r="J679">
        <v>3</v>
      </c>
      <c r="K679" t="s">
        <v>49</v>
      </c>
      <c r="L679" t="s">
        <v>59</v>
      </c>
      <c r="M679" t="s">
        <v>52</v>
      </c>
    </row>
    <row r="680" spans="1:13" x14ac:dyDescent="0.35">
      <c r="A680">
        <v>690</v>
      </c>
      <c r="B680">
        <v>60</v>
      </c>
      <c r="C680" s="1" t="s">
        <v>10</v>
      </c>
      <c r="D680" s="1" t="s">
        <v>44</v>
      </c>
      <c r="E680" s="1" t="s">
        <v>45</v>
      </c>
      <c r="F680">
        <v>4000</v>
      </c>
      <c r="G680">
        <v>50</v>
      </c>
      <c r="H680" s="1" t="s">
        <v>13</v>
      </c>
      <c r="I680" s="1" t="s">
        <v>19</v>
      </c>
      <c r="J680">
        <v>4</v>
      </c>
      <c r="K680" t="s">
        <v>49</v>
      </c>
      <c r="L680" t="s">
        <v>59</v>
      </c>
      <c r="M680" t="s">
        <v>51</v>
      </c>
    </row>
    <row r="681" spans="1:13" x14ac:dyDescent="0.35">
      <c r="A681">
        <v>691</v>
      </c>
      <c r="B681">
        <v>48</v>
      </c>
      <c r="C681" s="1" t="s">
        <v>10</v>
      </c>
      <c r="D681" s="1" t="s">
        <v>11</v>
      </c>
      <c r="E681" s="1" t="s">
        <v>12</v>
      </c>
      <c r="F681">
        <v>15000</v>
      </c>
      <c r="G681">
        <v>51</v>
      </c>
      <c r="H681" s="1" t="s">
        <v>18</v>
      </c>
      <c r="I681" s="1" t="s">
        <v>14</v>
      </c>
      <c r="J681">
        <v>4</v>
      </c>
      <c r="K681" t="s">
        <v>49</v>
      </c>
      <c r="L681" t="s">
        <v>59</v>
      </c>
      <c r="M681" t="s">
        <v>51</v>
      </c>
    </row>
    <row r="682" spans="1:13" x14ac:dyDescent="0.35">
      <c r="A682">
        <v>692</v>
      </c>
      <c r="B682">
        <v>65</v>
      </c>
      <c r="C682" s="1" t="s">
        <v>15</v>
      </c>
      <c r="D682" s="1" t="s">
        <v>16</v>
      </c>
      <c r="E682" s="1" t="s">
        <v>17</v>
      </c>
      <c r="F682">
        <v>2000</v>
      </c>
      <c r="G682">
        <v>49</v>
      </c>
      <c r="H682" s="1" t="s">
        <v>13</v>
      </c>
      <c r="I682" s="1" t="s">
        <v>19</v>
      </c>
      <c r="J682">
        <v>3</v>
      </c>
      <c r="K682" t="s">
        <v>55</v>
      </c>
      <c r="L682" t="s">
        <v>59</v>
      </c>
      <c r="M682" t="s">
        <v>52</v>
      </c>
    </row>
    <row r="683" spans="1:13" x14ac:dyDescent="0.35">
      <c r="A683">
        <v>693</v>
      </c>
      <c r="B683">
        <v>30</v>
      </c>
      <c r="C683" s="1" t="s">
        <v>10</v>
      </c>
      <c r="D683" s="1" t="s">
        <v>20</v>
      </c>
      <c r="E683" s="1" t="s">
        <v>21</v>
      </c>
      <c r="F683">
        <v>500</v>
      </c>
      <c r="G683">
        <v>47</v>
      </c>
      <c r="H683" s="1" t="s">
        <v>13</v>
      </c>
      <c r="I683" s="1" t="s">
        <v>14</v>
      </c>
      <c r="J683">
        <v>5</v>
      </c>
      <c r="K683" t="s">
        <v>53</v>
      </c>
      <c r="L683" t="s">
        <v>59</v>
      </c>
      <c r="M683" t="s">
        <v>51</v>
      </c>
    </row>
    <row r="684" spans="1:13" x14ac:dyDescent="0.35">
      <c r="A684">
        <v>694</v>
      </c>
      <c r="B684">
        <v>70</v>
      </c>
      <c r="C684" s="1" t="s">
        <v>15</v>
      </c>
      <c r="D684" s="1" t="s">
        <v>22</v>
      </c>
      <c r="E684" s="1" t="s">
        <v>23</v>
      </c>
      <c r="F684">
        <v>10000</v>
      </c>
      <c r="G684">
        <v>54</v>
      </c>
      <c r="H684" s="1" t="s">
        <v>18</v>
      </c>
      <c r="I684" s="1" t="s">
        <v>19</v>
      </c>
      <c r="J684">
        <v>2</v>
      </c>
      <c r="K684" t="s">
        <v>55</v>
      </c>
      <c r="L684" t="s">
        <v>59</v>
      </c>
      <c r="M684" t="s">
        <v>57</v>
      </c>
    </row>
    <row r="685" spans="1:13" x14ac:dyDescent="0.35">
      <c r="A685">
        <v>695</v>
      </c>
      <c r="B685">
        <v>55</v>
      </c>
      <c r="C685" s="1" t="s">
        <v>10</v>
      </c>
      <c r="D685" s="1" t="s">
        <v>24</v>
      </c>
      <c r="E685" s="1" t="s">
        <v>25</v>
      </c>
      <c r="F685">
        <v>25000</v>
      </c>
      <c r="G685">
        <v>56</v>
      </c>
      <c r="H685" s="1" t="s">
        <v>13</v>
      </c>
      <c r="I685" s="1" t="s">
        <v>14</v>
      </c>
      <c r="J685">
        <v>4</v>
      </c>
      <c r="K685" t="s">
        <v>49</v>
      </c>
      <c r="L685" t="s">
        <v>59</v>
      </c>
      <c r="M685" t="s">
        <v>51</v>
      </c>
    </row>
    <row r="686" spans="1:13" x14ac:dyDescent="0.35">
      <c r="A686">
        <v>696</v>
      </c>
      <c r="B686">
        <v>68</v>
      </c>
      <c r="C686" s="1" t="s">
        <v>15</v>
      </c>
      <c r="D686" s="1" t="s">
        <v>26</v>
      </c>
      <c r="E686" s="1" t="s">
        <v>27</v>
      </c>
      <c r="F686">
        <v>1000</v>
      </c>
      <c r="G686">
        <v>50</v>
      </c>
      <c r="H686" s="1" t="s">
        <v>13</v>
      </c>
      <c r="I686" s="1" t="s">
        <v>19</v>
      </c>
      <c r="J686">
        <v>4</v>
      </c>
      <c r="K686" t="s">
        <v>55</v>
      </c>
      <c r="L686" t="s">
        <v>59</v>
      </c>
      <c r="M686" t="s">
        <v>51</v>
      </c>
    </row>
    <row r="687" spans="1:13" x14ac:dyDescent="0.35">
      <c r="A687">
        <v>697</v>
      </c>
      <c r="B687">
        <v>45</v>
      </c>
      <c r="C687" s="1" t="s">
        <v>10</v>
      </c>
      <c r="D687" s="1" t="s">
        <v>28</v>
      </c>
      <c r="E687" s="1" t="s">
        <v>29</v>
      </c>
      <c r="F687">
        <v>8000</v>
      </c>
      <c r="G687">
        <v>52</v>
      </c>
      <c r="H687" s="1" t="s">
        <v>13</v>
      </c>
      <c r="I687" s="1" t="s">
        <v>14</v>
      </c>
      <c r="J687">
        <v>3</v>
      </c>
      <c r="K687" t="s">
        <v>49</v>
      </c>
      <c r="L687" t="s">
        <v>59</v>
      </c>
      <c r="M687" t="s">
        <v>52</v>
      </c>
    </row>
    <row r="688" spans="1:13" x14ac:dyDescent="0.35">
      <c r="A688">
        <v>698</v>
      </c>
      <c r="B688">
        <v>40</v>
      </c>
      <c r="C688" s="1" t="s">
        <v>15</v>
      </c>
      <c r="D688" s="1" t="s">
        <v>30</v>
      </c>
      <c r="E688" s="1" t="s">
        <v>31</v>
      </c>
      <c r="F688">
        <v>3000</v>
      </c>
      <c r="G688">
        <v>52</v>
      </c>
      <c r="H688" s="1" t="s">
        <v>13</v>
      </c>
      <c r="I688" s="1" t="s">
        <v>14</v>
      </c>
      <c r="J688">
        <v>4</v>
      </c>
      <c r="K688" t="s">
        <v>49</v>
      </c>
      <c r="L688" t="s">
        <v>59</v>
      </c>
      <c r="M688" t="s">
        <v>51</v>
      </c>
    </row>
    <row r="689" spans="1:13" x14ac:dyDescent="0.35">
      <c r="A689">
        <v>699</v>
      </c>
      <c r="B689">
        <v>78</v>
      </c>
      <c r="C689" s="1" t="s">
        <v>10</v>
      </c>
      <c r="D689" s="1" t="s">
        <v>32</v>
      </c>
      <c r="E689" s="1" t="s">
        <v>33</v>
      </c>
      <c r="F689">
        <v>18000</v>
      </c>
      <c r="G689">
        <v>54</v>
      </c>
      <c r="H689" s="1" t="s">
        <v>18</v>
      </c>
      <c r="I689" s="1" t="s">
        <v>19</v>
      </c>
      <c r="J689">
        <v>2</v>
      </c>
      <c r="K689" t="s">
        <v>55</v>
      </c>
      <c r="L689" t="s">
        <v>59</v>
      </c>
      <c r="M689" t="s">
        <v>57</v>
      </c>
    </row>
    <row r="690" spans="1:13" x14ac:dyDescent="0.35">
      <c r="A690">
        <v>700</v>
      </c>
      <c r="B690">
        <v>25</v>
      </c>
      <c r="C690" s="1" t="s">
        <v>15</v>
      </c>
      <c r="D690" s="1" t="s">
        <v>34</v>
      </c>
      <c r="E690" s="1" t="s">
        <v>35</v>
      </c>
      <c r="F690">
        <v>100</v>
      </c>
      <c r="G690">
        <v>47</v>
      </c>
      <c r="H690" s="1" t="s">
        <v>13</v>
      </c>
      <c r="I690" s="1" t="s">
        <v>14</v>
      </c>
      <c r="J690">
        <v>5</v>
      </c>
      <c r="K690" t="s">
        <v>53</v>
      </c>
      <c r="L690" t="s">
        <v>59</v>
      </c>
      <c r="M690" t="s">
        <v>51</v>
      </c>
    </row>
    <row r="691" spans="1:13" x14ac:dyDescent="0.35">
      <c r="A691">
        <v>701</v>
      </c>
      <c r="B691">
        <v>52</v>
      </c>
      <c r="C691" s="1" t="s">
        <v>10</v>
      </c>
      <c r="D691" s="1" t="s">
        <v>36</v>
      </c>
      <c r="E691" s="1" t="s">
        <v>37</v>
      </c>
      <c r="F691">
        <v>800</v>
      </c>
      <c r="G691">
        <v>48</v>
      </c>
      <c r="H691" s="1" t="s">
        <v>13</v>
      </c>
      <c r="I691" s="1" t="s">
        <v>19</v>
      </c>
      <c r="J691">
        <v>4</v>
      </c>
      <c r="K691" t="s">
        <v>49</v>
      </c>
      <c r="L691" t="s">
        <v>59</v>
      </c>
      <c r="M691" t="s">
        <v>51</v>
      </c>
    </row>
    <row r="692" spans="1:13" x14ac:dyDescent="0.35">
      <c r="A692">
        <v>702</v>
      </c>
      <c r="B692">
        <v>58</v>
      </c>
      <c r="C692" s="1" t="s">
        <v>15</v>
      </c>
      <c r="D692" s="1" t="s">
        <v>38</v>
      </c>
      <c r="E692" s="1" t="s">
        <v>39</v>
      </c>
      <c r="F692">
        <v>20000</v>
      </c>
      <c r="G692">
        <v>55</v>
      </c>
      <c r="H692" s="1" t="s">
        <v>13</v>
      </c>
      <c r="I692" s="1" t="s">
        <v>14</v>
      </c>
      <c r="J692">
        <v>3</v>
      </c>
      <c r="K692" t="s">
        <v>49</v>
      </c>
      <c r="L692" t="s">
        <v>59</v>
      </c>
      <c r="M692" t="s">
        <v>52</v>
      </c>
    </row>
    <row r="693" spans="1:13" x14ac:dyDescent="0.35">
      <c r="A693">
        <v>703</v>
      </c>
      <c r="B693">
        <v>32</v>
      </c>
      <c r="C693" s="1" t="s">
        <v>10</v>
      </c>
      <c r="D693" s="1" t="s">
        <v>40</v>
      </c>
      <c r="E693" s="1" t="s">
        <v>41</v>
      </c>
      <c r="F693">
        <v>12000</v>
      </c>
      <c r="G693">
        <v>49</v>
      </c>
      <c r="H693" s="1" t="s">
        <v>13</v>
      </c>
      <c r="I693" s="1" t="s">
        <v>14</v>
      </c>
      <c r="J693">
        <v>4</v>
      </c>
      <c r="K693" t="s">
        <v>53</v>
      </c>
      <c r="L693" t="s">
        <v>59</v>
      </c>
      <c r="M693" t="s">
        <v>51</v>
      </c>
    </row>
    <row r="694" spans="1:13" x14ac:dyDescent="0.35">
      <c r="A694">
        <v>704</v>
      </c>
      <c r="B694">
        <v>55</v>
      </c>
      <c r="C694" s="1" t="s">
        <v>15</v>
      </c>
      <c r="D694" s="1" t="s">
        <v>42</v>
      </c>
      <c r="E694" s="1" t="s">
        <v>43</v>
      </c>
      <c r="F694">
        <v>6000</v>
      </c>
      <c r="G694">
        <v>50</v>
      </c>
      <c r="H694" s="1" t="s">
        <v>13</v>
      </c>
      <c r="I694" s="1" t="s">
        <v>14</v>
      </c>
      <c r="J694">
        <v>3</v>
      </c>
      <c r="K694" t="s">
        <v>49</v>
      </c>
      <c r="L694" t="s">
        <v>59</v>
      </c>
      <c r="M694" t="s">
        <v>52</v>
      </c>
    </row>
    <row r="695" spans="1:13" x14ac:dyDescent="0.35">
      <c r="A695">
        <v>705</v>
      </c>
      <c r="B695">
        <v>65</v>
      </c>
      <c r="C695" s="1" t="s">
        <v>10</v>
      </c>
      <c r="D695" s="1" t="s">
        <v>44</v>
      </c>
      <c r="E695" s="1" t="s">
        <v>45</v>
      </c>
      <c r="F695">
        <v>4000</v>
      </c>
      <c r="G695">
        <v>51</v>
      </c>
      <c r="H695" s="1" t="s">
        <v>13</v>
      </c>
      <c r="I695" s="1" t="s">
        <v>19</v>
      </c>
      <c r="J695">
        <v>4</v>
      </c>
      <c r="K695" t="s">
        <v>55</v>
      </c>
      <c r="L695" t="s">
        <v>59</v>
      </c>
      <c r="M695" t="s">
        <v>51</v>
      </c>
    </row>
    <row r="696" spans="1:13" x14ac:dyDescent="0.35">
      <c r="A696">
        <v>706</v>
      </c>
      <c r="B696">
        <v>55</v>
      </c>
      <c r="C696" s="1" t="s">
        <v>10</v>
      </c>
      <c r="D696" s="1" t="s">
        <v>11</v>
      </c>
      <c r="E696" s="1" t="s">
        <v>12</v>
      </c>
      <c r="F696">
        <v>15000</v>
      </c>
      <c r="G696">
        <v>52</v>
      </c>
      <c r="H696" s="1" t="s">
        <v>18</v>
      </c>
      <c r="I696" s="1" t="s">
        <v>14</v>
      </c>
      <c r="J696">
        <v>3</v>
      </c>
      <c r="K696" t="s">
        <v>49</v>
      </c>
      <c r="L696" t="s">
        <v>59</v>
      </c>
      <c r="M696" t="s">
        <v>52</v>
      </c>
    </row>
    <row r="697" spans="1:13" x14ac:dyDescent="0.35">
      <c r="A697">
        <v>707</v>
      </c>
      <c r="B697">
        <v>62</v>
      </c>
      <c r="C697" s="1" t="s">
        <v>15</v>
      </c>
      <c r="D697" s="1" t="s">
        <v>16</v>
      </c>
      <c r="E697" s="1" t="s">
        <v>17</v>
      </c>
      <c r="F697">
        <v>2000</v>
      </c>
      <c r="G697">
        <v>50</v>
      </c>
      <c r="H697" s="1" t="s">
        <v>13</v>
      </c>
      <c r="I697" s="1" t="s">
        <v>19</v>
      </c>
      <c r="J697">
        <v>4</v>
      </c>
      <c r="K697" t="s">
        <v>55</v>
      </c>
      <c r="L697" t="s">
        <v>59</v>
      </c>
      <c r="M697" t="s">
        <v>51</v>
      </c>
    </row>
    <row r="698" spans="1:13" x14ac:dyDescent="0.35">
      <c r="A698">
        <v>708</v>
      </c>
      <c r="B698">
        <v>35</v>
      </c>
      <c r="C698" s="1" t="s">
        <v>10</v>
      </c>
      <c r="D698" s="1" t="s">
        <v>20</v>
      </c>
      <c r="E698" s="1" t="s">
        <v>21</v>
      </c>
      <c r="F698">
        <v>500</v>
      </c>
      <c r="G698">
        <v>48</v>
      </c>
      <c r="H698" s="1" t="s">
        <v>18</v>
      </c>
      <c r="I698" s="1" t="s">
        <v>14</v>
      </c>
      <c r="J698">
        <v>5</v>
      </c>
      <c r="K698" t="s">
        <v>53</v>
      </c>
      <c r="L698" t="s">
        <v>59</v>
      </c>
      <c r="M698" t="s">
        <v>51</v>
      </c>
    </row>
    <row r="699" spans="1:13" x14ac:dyDescent="0.35">
      <c r="A699">
        <v>709</v>
      </c>
      <c r="B699">
        <v>78</v>
      </c>
      <c r="C699" s="1" t="s">
        <v>15</v>
      </c>
      <c r="D699" s="1" t="s">
        <v>22</v>
      </c>
      <c r="E699" s="1" t="s">
        <v>23</v>
      </c>
      <c r="F699">
        <v>10000</v>
      </c>
      <c r="G699">
        <v>55</v>
      </c>
      <c r="H699" s="1" t="s">
        <v>13</v>
      </c>
      <c r="I699" s="1" t="s">
        <v>19</v>
      </c>
      <c r="J699">
        <v>2</v>
      </c>
      <c r="K699" t="s">
        <v>55</v>
      </c>
      <c r="L699" t="s">
        <v>59</v>
      </c>
      <c r="M699" t="s">
        <v>57</v>
      </c>
    </row>
    <row r="700" spans="1:13" x14ac:dyDescent="0.35">
      <c r="A700">
        <v>710</v>
      </c>
      <c r="B700">
        <v>53</v>
      </c>
      <c r="C700" s="1" t="s">
        <v>10</v>
      </c>
      <c r="D700" s="1" t="s">
        <v>24</v>
      </c>
      <c r="E700" s="1" t="s">
        <v>25</v>
      </c>
      <c r="F700">
        <v>25000</v>
      </c>
      <c r="G700">
        <v>57</v>
      </c>
      <c r="H700" s="1" t="s">
        <v>18</v>
      </c>
      <c r="I700" s="1" t="s">
        <v>14</v>
      </c>
      <c r="J700">
        <v>4</v>
      </c>
      <c r="K700" t="s">
        <v>49</v>
      </c>
      <c r="L700" t="s">
        <v>59</v>
      </c>
      <c r="M700" t="s">
        <v>51</v>
      </c>
    </row>
    <row r="701" spans="1:13" x14ac:dyDescent="0.35">
      <c r="A701">
        <v>711</v>
      </c>
      <c r="B701">
        <v>72</v>
      </c>
      <c r="C701" s="1" t="s">
        <v>15</v>
      </c>
      <c r="D701" s="1" t="s">
        <v>26</v>
      </c>
      <c r="E701" s="1" t="s">
        <v>27</v>
      </c>
      <c r="F701">
        <v>1000</v>
      </c>
      <c r="G701">
        <v>51</v>
      </c>
      <c r="H701" s="1" t="s">
        <v>13</v>
      </c>
      <c r="I701" s="1" t="s">
        <v>19</v>
      </c>
      <c r="J701">
        <v>4</v>
      </c>
      <c r="K701" t="s">
        <v>55</v>
      </c>
      <c r="L701" t="s">
        <v>59</v>
      </c>
      <c r="M701" t="s">
        <v>51</v>
      </c>
    </row>
    <row r="702" spans="1:13" x14ac:dyDescent="0.35">
      <c r="A702">
        <v>712</v>
      </c>
      <c r="B702">
        <v>60</v>
      </c>
      <c r="C702" s="1" t="s">
        <v>10</v>
      </c>
      <c r="D702" s="1" t="s">
        <v>28</v>
      </c>
      <c r="E702" s="1" t="s">
        <v>29</v>
      </c>
      <c r="F702">
        <v>8000</v>
      </c>
      <c r="G702">
        <v>53</v>
      </c>
      <c r="H702" s="1" t="s">
        <v>18</v>
      </c>
      <c r="I702" s="1" t="s">
        <v>14</v>
      </c>
      <c r="J702">
        <v>3</v>
      </c>
      <c r="K702" t="s">
        <v>49</v>
      </c>
      <c r="L702" t="s">
        <v>59</v>
      </c>
      <c r="M702" t="s">
        <v>52</v>
      </c>
    </row>
    <row r="703" spans="1:13" x14ac:dyDescent="0.35">
      <c r="A703">
        <v>713</v>
      </c>
      <c r="B703">
        <v>45</v>
      </c>
      <c r="C703" s="1" t="s">
        <v>15</v>
      </c>
      <c r="D703" s="1" t="s">
        <v>30</v>
      </c>
      <c r="E703" s="1" t="s">
        <v>31</v>
      </c>
      <c r="F703">
        <v>3000</v>
      </c>
      <c r="G703">
        <v>53</v>
      </c>
      <c r="H703" s="1" t="s">
        <v>13</v>
      </c>
      <c r="I703" s="1" t="s">
        <v>14</v>
      </c>
      <c r="J703">
        <v>4</v>
      </c>
      <c r="K703" t="s">
        <v>49</v>
      </c>
      <c r="L703" t="s">
        <v>59</v>
      </c>
      <c r="M703" t="s">
        <v>51</v>
      </c>
    </row>
    <row r="704" spans="1:13" x14ac:dyDescent="0.35">
      <c r="A704">
        <v>714</v>
      </c>
      <c r="B704">
        <v>75</v>
      </c>
      <c r="C704" s="1" t="s">
        <v>10</v>
      </c>
      <c r="D704" s="1" t="s">
        <v>32</v>
      </c>
      <c r="E704" s="1" t="s">
        <v>33</v>
      </c>
      <c r="F704">
        <v>18000</v>
      </c>
      <c r="G704">
        <v>55</v>
      </c>
      <c r="H704" s="1" t="s">
        <v>18</v>
      </c>
      <c r="I704" s="1" t="s">
        <v>19</v>
      </c>
      <c r="J704">
        <v>2</v>
      </c>
      <c r="K704" t="s">
        <v>55</v>
      </c>
      <c r="L704" t="s">
        <v>59</v>
      </c>
      <c r="M704" t="s">
        <v>57</v>
      </c>
    </row>
    <row r="705" spans="1:13" x14ac:dyDescent="0.35">
      <c r="A705">
        <v>715</v>
      </c>
      <c r="B705">
        <v>28</v>
      </c>
      <c r="C705" s="1" t="s">
        <v>15</v>
      </c>
      <c r="D705" s="1" t="s">
        <v>34</v>
      </c>
      <c r="E705" s="1" t="s">
        <v>35</v>
      </c>
      <c r="F705">
        <v>100</v>
      </c>
      <c r="G705">
        <v>48</v>
      </c>
      <c r="H705" s="1" t="s">
        <v>13</v>
      </c>
      <c r="I705" s="1" t="s">
        <v>14</v>
      </c>
      <c r="J705">
        <v>5</v>
      </c>
      <c r="K705" t="s">
        <v>53</v>
      </c>
      <c r="L705" t="s">
        <v>59</v>
      </c>
      <c r="M705" t="s">
        <v>51</v>
      </c>
    </row>
    <row r="706" spans="1:13" x14ac:dyDescent="0.35">
      <c r="A706">
        <v>716</v>
      </c>
      <c r="B706">
        <v>52</v>
      </c>
      <c r="C706" s="1" t="s">
        <v>10</v>
      </c>
      <c r="D706" s="1" t="s">
        <v>36</v>
      </c>
      <c r="E706" s="1" t="s">
        <v>37</v>
      </c>
      <c r="F706">
        <v>800</v>
      </c>
      <c r="G706">
        <v>49</v>
      </c>
      <c r="H706" s="1" t="s">
        <v>13</v>
      </c>
      <c r="I706" s="1" t="s">
        <v>19</v>
      </c>
      <c r="J706">
        <v>4</v>
      </c>
      <c r="K706" t="s">
        <v>49</v>
      </c>
      <c r="L706" t="s">
        <v>59</v>
      </c>
      <c r="M706" t="s">
        <v>51</v>
      </c>
    </row>
    <row r="707" spans="1:13" x14ac:dyDescent="0.35">
      <c r="A707">
        <v>717</v>
      </c>
      <c r="B707">
        <v>67</v>
      </c>
      <c r="C707" s="1" t="s">
        <v>15</v>
      </c>
      <c r="D707" s="1" t="s">
        <v>38</v>
      </c>
      <c r="E707" s="1" t="s">
        <v>39</v>
      </c>
      <c r="F707">
        <v>20000</v>
      </c>
      <c r="G707">
        <v>56</v>
      </c>
      <c r="H707" s="1" t="s">
        <v>13</v>
      </c>
      <c r="I707" s="1" t="s">
        <v>14</v>
      </c>
      <c r="J707">
        <v>3</v>
      </c>
      <c r="K707" t="s">
        <v>55</v>
      </c>
      <c r="L707" t="s">
        <v>59</v>
      </c>
      <c r="M707" t="s">
        <v>52</v>
      </c>
    </row>
    <row r="708" spans="1:13" x14ac:dyDescent="0.35">
      <c r="A708">
        <v>718</v>
      </c>
      <c r="B708">
        <v>35</v>
      </c>
      <c r="C708" s="1" t="s">
        <v>10</v>
      </c>
      <c r="D708" s="1" t="s">
        <v>40</v>
      </c>
      <c r="E708" s="1" t="s">
        <v>41</v>
      </c>
      <c r="F708">
        <v>12000</v>
      </c>
      <c r="G708">
        <v>50</v>
      </c>
      <c r="H708" s="1" t="s">
        <v>13</v>
      </c>
      <c r="I708" s="1" t="s">
        <v>14</v>
      </c>
      <c r="J708">
        <v>4</v>
      </c>
      <c r="K708" t="s">
        <v>53</v>
      </c>
      <c r="L708" t="s">
        <v>59</v>
      </c>
      <c r="M708" t="s">
        <v>51</v>
      </c>
    </row>
    <row r="709" spans="1:13" x14ac:dyDescent="0.35">
      <c r="A709">
        <v>719</v>
      </c>
      <c r="B709">
        <v>50</v>
      </c>
      <c r="C709" s="1" t="s">
        <v>15</v>
      </c>
      <c r="D709" s="1" t="s">
        <v>42</v>
      </c>
      <c r="E709" s="1" t="s">
        <v>43</v>
      </c>
      <c r="F709">
        <v>6000</v>
      </c>
      <c r="G709">
        <v>51</v>
      </c>
      <c r="H709" s="1" t="s">
        <v>13</v>
      </c>
      <c r="I709" s="1" t="s">
        <v>14</v>
      </c>
      <c r="J709">
        <v>3</v>
      </c>
      <c r="K709" t="s">
        <v>49</v>
      </c>
      <c r="L709" t="s">
        <v>59</v>
      </c>
      <c r="M709" t="s">
        <v>52</v>
      </c>
    </row>
    <row r="710" spans="1:13" x14ac:dyDescent="0.35">
      <c r="A710">
        <v>720</v>
      </c>
      <c r="B710">
        <v>60</v>
      </c>
      <c r="C710" s="1" t="s">
        <v>10</v>
      </c>
      <c r="D710" s="1" t="s">
        <v>44</v>
      </c>
      <c r="E710" s="1" t="s">
        <v>45</v>
      </c>
      <c r="F710">
        <v>4000</v>
      </c>
      <c r="G710">
        <v>52</v>
      </c>
      <c r="H710" s="1" t="s">
        <v>13</v>
      </c>
      <c r="I710" s="1" t="s">
        <v>19</v>
      </c>
      <c r="J710">
        <v>4</v>
      </c>
      <c r="K710" t="s">
        <v>49</v>
      </c>
      <c r="L710" t="s">
        <v>59</v>
      </c>
      <c r="M710" t="s">
        <v>51</v>
      </c>
    </row>
    <row r="711" spans="1:13" x14ac:dyDescent="0.35">
      <c r="A711">
        <v>721</v>
      </c>
      <c r="B711">
        <v>48</v>
      </c>
      <c r="C711" s="1" t="s">
        <v>10</v>
      </c>
      <c r="D711" s="1" t="s">
        <v>11</v>
      </c>
      <c r="E711" s="1" t="s">
        <v>12</v>
      </c>
      <c r="F711">
        <v>15000</v>
      </c>
      <c r="G711">
        <v>53</v>
      </c>
      <c r="H711" s="1" t="s">
        <v>18</v>
      </c>
      <c r="I711" s="1" t="s">
        <v>14</v>
      </c>
      <c r="J711">
        <v>4</v>
      </c>
      <c r="K711" t="s">
        <v>49</v>
      </c>
      <c r="L711" t="s">
        <v>59</v>
      </c>
      <c r="M711" t="s">
        <v>51</v>
      </c>
    </row>
    <row r="712" spans="1:13" x14ac:dyDescent="0.35">
      <c r="A712">
        <v>723</v>
      </c>
      <c r="B712">
        <v>30</v>
      </c>
      <c r="C712" s="1" t="s">
        <v>10</v>
      </c>
      <c r="D712" s="1" t="s">
        <v>20</v>
      </c>
      <c r="E712" s="1" t="s">
        <v>21</v>
      </c>
      <c r="F712">
        <v>500</v>
      </c>
      <c r="G712">
        <v>49</v>
      </c>
      <c r="H712" s="1" t="s">
        <v>13</v>
      </c>
      <c r="I712" s="1" t="s">
        <v>14</v>
      </c>
      <c r="J712">
        <v>5</v>
      </c>
      <c r="K712" t="s">
        <v>53</v>
      </c>
      <c r="L712" t="s">
        <v>59</v>
      </c>
      <c r="M712" t="s">
        <v>51</v>
      </c>
    </row>
    <row r="713" spans="1:13" x14ac:dyDescent="0.35">
      <c r="A713">
        <v>724</v>
      </c>
      <c r="B713">
        <v>70</v>
      </c>
      <c r="C713" s="1" t="s">
        <v>15</v>
      </c>
      <c r="D713" s="1" t="s">
        <v>22</v>
      </c>
      <c r="E713" s="1" t="s">
        <v>23</v>
      </c>
      <c r="F713">
        <v>10000</v>
      </c>
      <c r="G713">
        <v>56</v>
      </c>
      <c r="H713" s="1" t="s">
        <v>18</v>
      </c>
      <c r="I713" s="1" t="s">
        <v>19</v>
      </c>
      <c r="J713">
        <v>2</v>
      </c>
      <c r="K713" t="s">
        <v>55</v>
      </c>
      <c r="L713" t="s">
        <v>59</v>
      </c>
      <c r="M713" t="s">
        <v>57</v>
      </c>
    </row>
    <row r="714" spans="1:13" x14ac:dyDescent="0.35">
      <c r="A714">
        <v>725</v>
      </c>
      <c r="B714">
        <v>55</v>
      </c>
      <c r="C714" s="1" t="s">
        <v>10</v>
      </c>
      <c r="D714" s="1" t="s">
        <v>24</v>
      </c>
      <c r="E714" s="1" t="s">
        <v>25</v>
      </c>
      <c r="F714">
        <v>25000</v>
      </c>
      <c r="G714">
        <v>58</v>
      </c>
      <c r="H714" s="1" t="s">
        <v>13</v>
      </c>
      <c r="I714" s="1" t="s">
        <v>14</v>
      </c>
      <c r="J714">
        <v>4</v>
      </c>
      <c r="K714" t="s">
        <v>49</v>
      </c>
      <c r="L714" t="s">
        <v>59</v>
      </c>
      <c r="M714" t="s">
        <v>51</v>
      </c>
    </row>
    <row r="715" spans="1:13" x14ac:dyDescent="0.35">
      <c r="A715">
        <v>726</v>
      </c>
      <c r="B715">
        <v>68</v>
      </c>
      <c r="C715" s="1" t="s">
        <v>15</v>
      </c>
      <c r="D715" s="1" t="s">
        <v>26</v>
      </c>
      <c r="E715" s="1" t="s">
        <v>27</v>
      </c>
      <c r="F715">
        <v>1000</v>
      </c>
      <c r="G715">
        <v>52</v>
      </c>
      <c r="H715" s="1" t="s">
        <v>13</v>
      </c>
      <c r="I715" s="1" t="s">
        <v>19</v>
      </c>
      <c r="J715">
        <v>4</v>
      </c>
      <c r="K715" t="s">
        <v>55</v>
      </c>
      <c r="L715" t="s">
        <v>59</v>
      </c>
      <c r="M715" t="s">
        <v>51</v>
      </c>
    </row>
    <row r="716" spans="1:13" x14ac:dyDescent="0.35">
      <c r="A716">
        <v>727</v>
      </c>
      <c r="B716">
        <v>45</v>
      </c>
      <c r="C716" s="1" t="s">
        <v>10</v>
      </c>
      <c r="D716" s="1" t="s">
        <v>28</v>
      </c>
      <c r="E716" s="1" t="s">
        <v>29</v>
      </c>
      <c r="F716">
        <v>8000</v>
      </c>
      <c r="G716">
        <v>54</v>
      </c>
      <c r="H716" s="1" t="s">
        <v>13</v>
      </c>
      <c r="I716" s="1" t="s">
        <v>14</v>
      </c>
      <c r="J716">
        <v>3</v>
      </c>
      <c r="K716" t="s">
        <v>49</v>
      </c>
      <c r="L716" t="s">
        <v>59</v>
      </c>
      <c r="M716" t="s">
        <v>52</v>
      </c>
    </row>
    <row r="717" spans="1:13" x14ac:dyDescent="0.35">
      <c r="A717">
        <v>728</v>
      </c>
      <c r="B717">
        <v>40</v>
      </c>
      <c r="C717" s="1" t="s">
        <v>15</v>
      </c>
      <c r="D717" s="1" t="s">
        <v>30</v>
      </c>
      <c r="E717" s="1" t="s">
        <v>31</v>
      </c>
      <c r="F717">
        <v>3000</v>
      </c>
      <c r="G717">
        <v>54</v>
      </c>
      <c r="H717" s="1" t="s">
        <v>13</v>
      </c>
      <c r="I717" s="1" t="s">
        <v>14</v>
      </c>
      <c r="J717">
        <v>4</v>
      </c>
      <c r="K717" t="s">
        <v>49</v>
      </c>
      <c r="L717" t="s">
        <v>59</v>
      </c>
      <c r="M717" t="s">
        <v>51</v>
      </c>
    </row>
    <row r="718" spans="1:13" x14ac:dyDescent="0.35">
      <c r="A718">
        <v>729</v>
      </c>
      <c r="B718">
        <v>78</v>
      </c>
      <c r="C718" s="1" t="s">
        <v>10</v>
      </c>
      <c r="D718" s="1" t="s">
        <v>32</v>
      </c>
      <c r="E718" s="1" t="s">
        <v>33</v>
      </c>
      <c r="F718">
        <v>18000</v>
      </c>
      <c r="G718">
        <v>56</v>
      </c>
      <c r="H718" s="1" t="s">
        <v>18</v>
      </c>
      <c r="I718" s="1" t="s">
        <v>19</v>
      </c>
      <c r="J718">
        <v>2</v>
      </c>
      <c r="K718" t="s">
        <v>55</v>
      </c>
      <c r="L718" t="s">
        <v>59</v>
      </c>
      <c r="M718" t="s">
        <v>57</v>
      </c>
    </row>
    <row r="719" spans="1:13" x14ac:dyDescent="0.35">
      <c r="A719">
        <v>730</v>
      </c>
      <c r="B719">
        <v>25</v>
      </c>
      <c r="C719" s="1" t="s">
        <v>15</v>
      </c>
      <c r="D719" s="1" t="s">
        <v>34</v>
      </c>
      <c r="E719" s="1" t="s">
        <v>35</v>
      </c>
      <c r="F719">
        <v>100</v>
      </c>
      <c r="G719">
        <v>49</v>
      </c>
      <c r="H719" s="1" t="s">
        <v>13</v>
      </c>
      <c r="I719" s="1" t="s">
        <v>14</v>
      </c>
      <c r="J719">
        <v>5</v>
      </c>
      <c r="K719" t="s">
        <v>53</v>
      </c>
      <c r="L719" t="s">
        <v>59</v>
      </c>
      <c r="M719" t="s">
        <v>51</v>
      </c>
    </row>
    <row r="720" spans="1:13" x14ac:dyDescent="0.35">
      <c r="A720">
        <v>731</v>
      </c>
      <c r="B720">
        <v>52</v>
      </c>
      <c r="C720" s="1" t="s">
        <v>10</v>
      </c>
      <c r="D720" s="1" t="s">
        <v>36</v>
      </c>
      <c r="E720" s="1" t="s">
        <v>37</v>
      </c>
      <c r="F720">
        <v>800</v>
      </c>
      <c r="G720">
        <v>50</v>
      </c>
      <c r="H720" s="1" t="s">
        <v>13</v>
      </c>
      <c r="I720" s="1" t="s">
        <v>19</v>
      </c>
      <c r="J720">
        <v>4</v>
      </c>
      <c r="K720" t="s">
        <v>49</v>
      </c>
      <c r="L720" t="s">
        <v>59</v>
      </c>
      <c r="M720" t="s">
        <v>51</v>
      </c>
    </row>
    <row r="721" spans="1:13" x14ac:dyDescent="0.35">
      <c r="A721">
        <v>732</v>
      </c>
      <c r="B721">
        <v>58</v>
      </c>
      <c r="C721" s="1" t="s">
        <v>15</v>
      </c>
      <c r="D721" s="1" t="s">
        <v>38</v>
      </c>
      <c r="E721" s="1" t="s">
        <v>39</v>
      </c>
      <c r="F721">
        <v>20000</v>
      </c>
      <c r="G721">
        <v>57</v>
      </c>
      <c r="H721" s="1" t="s">
        <v>13</v>
      </c>
      <c r="I721" s="1" t="s">
        <v>14</v>
      </c>
      <c r="J721">
        <v>3</v>
      </c>
      <c r="K721" t="s">
        <v>49</v>
      </c>
      <c r="L721" t="s">
        <v>59</v>
      </c>
      <c r="M721" t="s">
        <v>52</v>
      </c>
    </row>
    <row r="722" spans="1:13" x14ac:dyDescent="0.35">
      <c r="A722">
        <v>733</v>
      </c>
      <c r="B722">
        <v>32</v>
      </c>
      <c r="C722" s="1" t="s">
        <v>10</v>
      </c>
      <c r="D722" s="1" t="s">
        <v>40</v>
      </c>
      <c r="E722" s="1" t="s">
        <v>41</v>
      </c>
      <c r="F722">
        <v>12000</v>
      </c>
      <c r="G722">
        <v>51</v>
      </c>
      <c r="H722" s="1" t="s">
        <v>13</v>
      </c>
      <c r="I722" s="1" t="s">
        <v>14</v>
      </c>
      <c r="J722">
        <v>4</v>
      </c>
      <c r="K722" t="s">
        <v>53</v>
      </c>
      <c r="L722" t="s">
        <v>59</v>
      </c>
      <c r="M722" t="s">
        <v>51</v>
      </c>
    </row>
    <row r="723" spans="1:13" x14ac:dyDescent="0.35">
      <c r="A723">
        <v>734</v>
      </c>
      <c r="B723">
        <v>55</v>
      </c>
      <c r="C723" s="1" t="s">
        <v>15</v>
      </c>
      <c r="D723" s="1" t="s">
        <v>42</v>
      </c>
      <c r="E723" s="1" t="s">
        <v>43</v>
      </c>
      <c r="F723">
        <v>6000</v>
      </c>
      <c r="G723">
        <v>52</v>
      </c>
      <c r="H723" s="1" t="s">
        <v>13</v>
      </c>
      <c r="I723" s="1" t="s">
        <v>14</v>
      </c>
      <c r="J723">
        <v>3</v>
      </c>
      <c r="K723" t="s">
        <v>49</v>
      </c>
      <c r="L723" t="s">
        <v>59</v>
      </c>
      <c r="M723" t="s">
        <v>52</v>
      </c>
    </row>
    <row r="724" spans="1:13" x14ac:dyDescent="0.35">
      <c r="A724">
        <v>735</v>
      </c>
      <c r="B724">
        <v>65</v>
      </c>
      <c r="C724" s="1" t="s">
        <v>10</v>
      </c>
      <c r="D724" s="1" t="s">
        <v>44</v>
      </c>
      <c r="E724" s="1" t="s">
        <v>45</v>
      </c>
      <c r="F724">
        <v>4000</v>
      </c>
      <c r="G724">
        <v>53</v>
      </c>
      <c r="H724" s="1" t="s">
        <v>13</v>
      </c>
      <c r="I724" s="1" t="s">
        <v>19</v>
      </c>
      <c r="J724">
        <v>4</v>
      </c>
      <c r="K724" t="s">
        <v>55</v>
      </c>
      <c r="L724" t="s">
        <v>59</v>
      </c>
      <c r="M724" t="s">
        <v>51</v>
      </c>
    </row>
    <row r="725" spans="1:13" x14ac:dyDescent="0.35">
      <c r="A725">
        <v>736</v>
      </c>
      <c r="B725">
        <v>55</v>
      </c>
      <c r="C725" s="1" t="s">
        <v>10</v>
      </c>
      <c r="D725" s="1" t="s">
        <v>11</v>
      </c>
      <c r="E725" s="1" t="s">
        <v>12</v>
      </c>
      <c r="F725">
        <v>15000</v>
      </c>
      <c r="G725">
        <v>54</v>
      </c>
      <c r="H725" s="1" t="s">
        <v>18</v>
      </c>
      <c r="I725" s="1" t="s">
        <v>14</v>
      </c>
      <c r="J725">
        <v>3</v>
      </c>
      <c r="K725" t="s">
        <v>49</v>
      </c>
      <c r="L725" t="s">
        <v>59</v>
      </c>
      <c r="M725" t="s">
        <v>52</v>
      </c>
    </row>
    <row r="726" spans="1:13" x14ac:dyDescent="0.35">
      <c r="A726">
        <v>737</v>
      </c>
      <c r="B726">
        <v>62</v>
      </c>
      <c r="C726" s="1" t="s">
        <v>15</v>
      </c>
      <c r="D726" s="1" t="s">
        <v>16</v>
      </c>
      <c r="E726" s="1" t="s">
        <v>17</v>
      </c>
      <c r="F726">
        <v>2000</v>
      </c>
      <c r="G726">
        <v>52</v>
      </c>
      <c r="H726" s="1" t="s">
        <v>13</v>
      </c>
      <c r="I726" s="1" t="s">
        <v>19</v>
      </c>
      <c r="J726">
        <v>4</v>
      </c>
      <c r="K726" t="s">
        <v>55</v>
      </c>
      <c r="L726" t="s">
        <v>59</v>
      </c>
      <c r="M726" t="s">
        <v>51</v>
      </c>
    </row>
    <row r="727" spans="1:13" x14ac:dyDescent="0.35">
      <c r="A727">
        <v>738</v>
      </c>
      <c r="B727">
        <v>35</v>
      </c>
      <c r="C727" s="1" t="s">
        <v>10</v>
      </c>
      <c r="D727" s="1" t="s">
        <v>20</v>
      </c>
      <c r="E727" s="1" t="s">
        <v>21</v>
      </c>
      <c r="F727">
        <v>500</v>
      </c>
      <c r="G727">
        <v>50</v>
      </c>
      <c r="H727" s="1" t="s">
        <v>18</v>
      </c>
      <c r="I727" s="1" t="s">
        <v>14</v>
      </c>
      <c r="J727">
        <v>5</v>
      </c>
      <c r="K727" t="s">
        <v>53</v>
      </c>
      <c r="L727" t="s">
        <v>59</v>
      </c>
      <c r="M727" t="s">
        <v>51</v>
      </c>
    </row>
    <row r="728" spans="1:13" x14ac:dyDescent="0.35">
      <c r="A728">
        <v>739</v>
      </c>
      <c r="B728">
        <v>78</v>
      </c>
      <c r="C728" s="1" t="s">
        <v>15</v>
      </c>
      <c r="D728" s="1" t="s">
        <v>22</v>
      </c>
      <c r="E728" s="1" t="s">
        <v>23</v>
      </c>
      <c r="F728">
        <v>10000</v>
      </c>
      <c r="G728">
        <v>57</v>
      </c>
      <c r="H728" s="1" t="s">
        <v>13</v>
      </c>
      <c r="I728" s="1" t="s">
        <v>19</v>
      </c>
      <c r="J728">
        <v>2</v>
      </c>
      <c r="K728" t="s">
        <v>55</v>
      </c>
      <c r="L728" t="s">
        <v>59</v>
      </c>
      <c r="M728" t="s">
        <v>57</v>
      </c>
    </row>
    <row r="729" spans="1:13" x14ac:dyDescent="0.35">
      <c r="A729">
        <v>740</v>
      </c>
      <c r="B729">
        <v>53</v>
      </c>
      <c r="C729" s="1" t="s">
        <v>10</v>
      </c>
      <c r="D729" s="1" t="s">
        <v>24</v>
      </c>
      <c r="E729" s="1" t="s">
        <v>25</v>
      </c>
      <c r="F729">
        <v>25000</v>
      </c>
      <c r="G729">
        <v>59</v>
      </c>
      <c r="H729" s="1" t="s">
        <v>18</v>
      </c>
      <c r="I729" s="1" t="s">
        <v>14</v>
      </c>
      <c r="J729">
        <v>4</v>
      </c>
      <c r="K729" t="s">
        <v>49</v>
      </c>
      <c r="L729" t="s">
        <v>59</v>
      </c>
      <c r="M729" t="s">
        <v>51</v>
      </c>
    </row>
    <row r="730" spans="1:13" x14ac:dyDescent="0.35">
      <c r="A730">
        <v>741</v>
      </c>
      <c r="B730">
        <v>72</v>
      </c>
      <c r="C730" s="1" t="s">
        <v>15</v>
      </c>
      <c r="D730" s="1" t="s">
        <v>26</v>
      </c>
      <c r="E730" s="1" t="s">
        <v>27</v>
      </c>
      <c r="F730">
        <v>1000</v>
      </c>
      <c r="G730">
        <v>53</v>
      </c>
      <c r="H730" s="1" t="s">
        <v>13</v>
      </c>
      <c r="I730" s="1" t="s">
        <v>19</v>
      </c>
      <c r="J730">
        <v>4</v>
      </c>
      <c r="K730" t="s">
        <v>55</v>
      </c>
      <c r="L730" t="s">
        <v>59</v>
      </c>
      <c r="M730" t="s">
        <v>51</v>
      </c>
    </row>
    <row r="731" spans="1:13" x14ac:dyDescent="0.35">
      <c r="A731">
        <v>742</v>
      </c>
      <c r="B731">
        <v>60</v>
      </c>
      <c r="C731" s="1" t="s">
        <v>10</v>
      </c>
      <c r="D731" s="1" t="s">
        <v>28</v>
      </c>
      <c r="E731" s="1" t="s">
        <v>29</v>
      </c>
      <c r="F731">
        <v>8000</v>
      </c>
      <c r="G731">
        <v>55</v>
      </c>
      <c r="H731" s="1" t="s">
        <v>18</v>
      </c>
      <c r="I731" s="1" t="s">
        <v>14</v>
      </c>
      <c r="J731">
        <v>3</v>
      </c>
      <c r="K731" t="s">
        <v>49</v>
      </c>
      <c r="L731" t="s">
        <v>59</v>
      </c>
      <c r="M731" t="s">
        <v>52</v>
      </c>
    </row>
    <row r="732" spans="1:13" x14ac:dyDescent="0.35">
      <c r="A732">
        <v>743</v>
      </c>
      <c r="B732">
        <v>45</v>
      </c>
      <c r="C732" s="1" t="s">
        <v>15</v>
      </c>
      <c r="D732" s="1" t="s">
        <v>30</v>
      </c>
      <c r="E732" s="1" t="s">
        <v>31</v>
      </c>
      <c r="F732">
        <v>3000</v>
      </c>
      <c r="G732">
        <v>55</v>
      </c>
      <c r="H732" s="1" t="s">
        <v>13</v>
      </c>
      <c r="I732" s="1" t="s">
        <v>14</v>
      </c>
      <c r="J732">
        <v>4</v>
      </c>
      <c r="K732" t="s">
        <v>49</v>
      </c>
      <c r="L732" t="s">
        <v>59</v>
      </c>
      <c r="M732" t="s">
        <v>51</v>
      </c>
    </row>
    <row r="733" spans="1:13" x14ac:dyDescent="0.35">
      <c r="A733">
        <v>744</v>
      </c>
      <c r="B733">
        <v>75</v>
      </c>
      <c r="C733" s="1" t="s">
        <v>10</v>
      </c>
      <c r="D733" s="1" t="s">
        <v>32</v>
      </c>
      <c r="E733" s="1" t="s">
        <v>33</v>
      </c>
      <c r="F733">
        <v>18000</v>
      </c>
      <c r="G733">
        <v>57</v>
      </c>
      <c r="H733" s="1" t="s">
        <v>18</v>
      </c>
      <c r="I733" s="1" t="s">
        <v>19</v>
      </c>
      <c r="J733">
        <v>2</v>
      </c>
      <c r="K733" t="s">
        <v>55</v>
      </c>
      <c r="L733" t="s">
        <v>59</v>
      </c>
      <c r="M733" t="s">
        <v>57</v>
      </c>
    </row>
    <row r="734" spans="1:13" x14ac:dyDescent="0.35">
      <c r="A734">
        <v>745</v>
      </c>
      <c r="B734">
        <v>28</v>
      </c>
      <c r="C734" s="1" t="s">
        <v>15</v>
      </c>
      <c r="D734" s="1" t="s">
        <v>34</v>
      </c>
      <c r="E734" s="1" t="s">
        <v>35</v>
      </c>
      <c r="F734">
        <v>100</v>
      </c>
      <c r="G734">
        <v>50</v>
      </c>
      <c r="H734" s="1" t="s">
        <v>13</v>
      </c>
      <c r="I734" s="1" t="s">
        <v>14</v>
      </c>
      <c r="J734">
        <v>5</v>
      </c>
      <c r="K734" t="s">
        <v>53</v>
      </c>
      <c r="L734" t="s">
        <v>59</v>
      </c>
      <c r="M734" t="s">
        <v>51</v>
      </c>
    </row>
    <row r="735" spans="1:13" x14ac:dyDescent="0.35">
      <c r="A735">
        <v>746</v>
      </c>
      <c r="B735">
        <v>52</v>
      </c>
      <c r="C735" s="1" t="s">
        <v>10</v>
      </c>
      <c r="D735" s="1" t="s">
        <v>36</v>
      </c>
      <c r="E735" s="1" t="s">
        <v>37</v>
      </c>
      <c r="F735">
        <v>800</v>
      </c>
      <c r="G735">
        <v>51</v>
      </c>
      <c r="H735" s="1" t="s">
        <v>13</v>
      </c>
      <c r="I735" s="1" t="s">
        <v>19</v>
      </c>
      <c r="J735">
        <v>4</v>
      </c>
      <c r="K735" t="s">
        <v>49</v>
      </c>
      <c r="L735" t="s">
        <v>59</v>
      </c>
      <c r="M735" t="s">
        <v>51</v>
      </c>
    </row>
    <row r="736" spans="1:13" x14ac:dyDescent="0.35">
      <c r="A736">
        <v>747</v>
      </c>
      <c r="B736">
        <v>67</v>
      </c>
      <c r="C736" s="1" t="s">
        <v>15</v>
      </c>
      <c r="D736" s="1" t="s">
        <v>38</v>
      </c>
      <c r="E736" s="1" t="s">
        <v>39</v>
      </c>
      <c r="F736">
        <v>20000</v>
      </c>
      <c r="G736">
        <v>58</v>
      </c>
      <c r="H736" s="1" t="s">
        <v>13</v>
      </c>
      <c r="I736" s="1" t="s">
        <v>14</v>
      </c>
      <c r="J736">
        <v>3</v>
      </c>
      <c r="K736" t="s">
        <v>55</v>
      </c>
      <c r="L736" t="s">
        <v>59</v>
      </c>
      <c r="M736" t="s">
        <v>52</v>
      </c>
    </row>
    <row r="737" spans="1:13" x14ac:dyDescent="0.35">
      <c r="A737">
        <v>748</v>
      </c>
      <c r="B737">
        <v>35</v>
      </c>
      <c r="C737" s="1" t="s">
        <v>10</v>
      </c>
      <c r="D737" s="1" t="s">
        <v>40</v>
      </c>
      <c r="E737" s="1" t="s">
        <v>41</v>
      </c>
      <c r="F737">
        <v>12000</v>
      </c>
      <c r="G737">
        <v>52</v>
      </c>
      <c r="H737" s="1" t="s">
        <v>13</v>
      </c>
      <c r="I737" s="1" t="s">
        <v>14</v>
      </c>
      <c r="J737">
        <v>4</v>
      </c>
      <c r="K737" t="s">
        <v>53</v>
      </c>
      <c r="L737" t="s">
        <v>59</v>
      </c>
      <c r="M737" t="s">
        <v>51</v>
      </c>
    </row>
    <row r="738" spans="1:13" x14ac:dyDescent="0.35">
      <c r="A738">
        <v>749</v>
      </c>
      <c r="B738">
        <v>50</v>
      </c>
      <c r="C738" s="1" t="s">
        <v>15</v>
      </c>
      <c r="D738" s="1" t="s">
        <v>42</v>
      </c>
      <c r="E738" s="1" t="s">
        <v>43</v>
      </c>
      <c r="F738">
        <v>6000</v>
      </c>
      <c r="G738">
        <v>53</v>
      </c>
      <c r="H738" s="1" t="s">
        <v>13</v>
      </c>
      <c r="I738" s="1" t="s">
        <v>14</v>
      </c>
      <c r="J738">
        <v>3</v>
      </c>
      <c r="K738" t="s">
        <v>49</v>
      </c>
      <c r="L738" t="s">
        <v>59</v>
      </c>
      <c r="M738" t="s">
        <v>52</v>
      </c>
    </row>
    <row r="739" spans="1:13" x14ac:dyDescent="0.35">
      <c r="A739">
        <v>750</v>
      </c>
      <c r="B739">
        <v>60</v>
      </c>
      <c r="C739" s="1" t="s">
        <v>10</v>
      </c>
      <c r="D739" s="1" t="s">
        <v>44</v>
      </c>
      <c r="E739" s="1" t="s">
        <v>45</v>
      </c>
      <c r="F739">
        <v>4000</v>
      </c>
      <c r="G739">
        <v>54</v>
      </c>
      <c r="H739" s="1" t="s">
        <v>13</v>
      </c>
      <c r="I739" s="1" t="s">
        <v>19</v>
      </c>
      <c r="J739">
        <v>4</v>
      </c>
      <c r="K739" t="s">
        <v>49</v>
      </c>
      <c r="L739" t="s">
        <v>59</v>
      </c>
      <c r="M739" t="s">
        <v>51</v>
      </c>
    </row>
    <row r="740" spans="1:13" x14ac:dyDescent="0.35">
      <c r="A740">
        <v>751</v>
      </c>
      <c r="B740">
        <v>48</v>
      </c>
      <c r="C740" s="1" t="s">
        <v>10</v>
      </c>
      <c r="D740" s="1" t="s">
        <v>11</v>
      </c>
      <c r="E740" s="1" t="s">
        <v>12</v>
      </c>
      <c r="F740">
        <v>15000</v>
      </c>
      <c r="G740">
        <v>55</v>
      </c>
      <c r="H740" s="1" t="s">
        <v>18</v>
      </c>
      <c r="I740" s="1" t="s">
        <v>14</v>
      </c>
      <c r="J740">
        <v>4</v>
      </c>
      <c r="K740" t="s">
        <v>49</v>
      </c>
      <c r="L740" t="s">
        <v>59</v>
      </c>
      <c r="M740" t="s">
        <v>51</v>
      </c>
    </row>
    <row r="741" spans="1:13" x14ac:dyDescent="0.35">
      <c r="A741">
        <v>752</v>
      </c>
      <c r="B741">
        <v>65</v>
      </c>
      <c r="C741" s="1" t="s">
        <v>15</v>
      </c>
      <c r="D741" s="1" t="s">
        <v>16</v>
      </c>
      <c r="E741" s="1" t="s">
        <v>17</v>
      </c>
      <c r="F741">
        <v>2000</v>
      </c>
      <c r="G741">
        <v>53</v>
      </c>
      <c r="H741" s="1" t="s">
        <v>13</v>
      </c>
      <c r="I741" s="1" t="s">
        <v>19</v>
      </c>
      <c r="J741">
        <v>3</v>
      </c>
      <c r="K741" t="s">
        <v>55</v>
      </c>
      <c r="L741" t="s">
        <v>59</v>
      </c>
      <c r="M741" t="s">
        <v>52</v>
      </c>
    </row>
    <row r="742" spans="1:13" x14ac:dyDescent="0.35">
      <c r="A742">
        <v>753</v>
      </c>
      <c r="B742">
        <v>30</v>
      </c>
      <c r="C742" s="1" t="s">
        <v>10</v>
      </c>
      <c r="D742" s="1" t="s">
        <v>20</v>
      </c>
      <c r="E742" s="1" t="s">
        <v>21</v>
      </c>
      <c r="F742">
        <v>500</v>
      </c>
      <c r="G742">
        <v>51</v>
      </c>
      <c r="H742" s="1" t="s">
        <v>13</v>
      </c>
      <c r="I742" s="1" t="s">
        <v>14</v>
      </c>
      <c r="J742">
        <v>5</v>
      </c>
      <c r="K742" t="s">
        <v>53</v>
      </c>
      <c r="L742" t="s">
        <v>59</v>
      </c>
      <c r="M742" t="s">
        <v>51</v>
      </c>
    </row>
    <row r="743" spans="1:13" x14ac:dyDescent="0.35">
      <c r="A743">
        <v>754</v>
      </c>
      <c r="B743">
        <v>70</v>
      </c>
      <c r="C743" s="1" t="s">
        <v>15</v>
      </c>
      <c r="D743" s="1" t="s">
        <v>22</v>
      </c>
      <c r="E743" s="1" t="s">
        <v>23</v>
      </c>
      <c r="F743">
        <v>10000</v>
      </c>
      <c r="G743">
        <v>58</v>
      </c>
      <c r="H743" s="1" t="s">
        <v>18</v>
      </c>
      <c r="I743" s="1" t="s">
        <v>19</v>
      </c>
      <c r="J743">
        <v>2</v>
      </c>
      <c r="K743" t="s">
        <v>55</v>
      </c>
      <c r="L743" t="s">
        <v>59</v>
      </c>
      <c r="M743" t="s">
        <v>57</v>
      </c>
    </row>
    <row r="744" spans="1:13" x14ac:dyDescent="0.35">
      <c r="A744">
        <v>755</v>
      </c>
      <c r="B744">
        <v>55</v>
      </c>
      <c r="C744" s="1" t="s">
        <v>10</v>
      </c>
      <c r="D744" s="1" t="s">
        <v>24</v>
      </c>
      <c r="E744" s="1" t="s">
        <v>25</v>
      </c>
      <c r="F744">
        <v>25000</v>
      </c>
      <c r="G744">
        <v>60</v>
      </c>
      <c r="H744" s="1" t="s">
        <v>13</v>
      </c>
      <c r="I744" s="1" t="s">
        <v>14</v>
      </c>
      <c r="J744">
        <v>4</v>
      </c>
      <c r="K744" t="s">
        <v>49</v>
      </c>
      <c r="L744" t="s">
        <v>59</v>
      </c>
      <c r="M744" t="s">
        <v>51</v>
      </c>
    </row>
    <row r="745" spans="1:13" x14ac:dyDescent="0.35">
      <c r="A745">
        <v>756</v>
      </c>
      <c r="B745">
        <v>68</v>
      </c>
      <c r="C745" s="1" t="s">
        <v>15</v>
      </c>
      <c r="D745" s="1" t="s">
        <v>26</v>
      </c>
      <c r="E745" s="1" t="s">
        <v>27</v>
      </c>
      <c r="F745">
        <v>1000</v>
      </c>
      <c r="G745">
        <v>54</v>
      </c>
      <c r="H745" s="1" t="s">
        <v>13</v>
      </c>
      <c r="I745" s="1" t="s">
        <v>19</v>
      </c>
      <c r="J745">
        <v>4</v>
      </c>
      <c r="K745" t="s">
        <v>55</v>
      </c>
      <c r="L745" t="s">
        <v>59</v>
      </c>
      <c r="M745" t="s">
        <v>51</v>
      </c>
    </row>
    <row r="746" spans="1:13" x14ac:dyDescent="0.35">
      <c r="A746">
        <v>757</v>
      </c>
      <c r="B746">
        <v>45</v>
      </c>
      <c r="C746" s="1" t="s">
        <v>10</v>
      </c>
      <c r="D746" s="1" t="s">
        <v>28</v>
      </c>
      <c r="E746" s="1" t="s">
        <v>29</v>
      </c>
      <c r="F746">
        <v>8000</v>
      </c>
      <c r="G746">
        <v>56</v>
      </c>
      <c r="H746" s="1" t="s">
        <v>13</v>
      </c>
      <c r="I746" s="1" t="s">
        <v>14</v>
      </c>
      <c r="J746">
        <v>3</v>
      </c>
      <c r="K746" t="s">
        <v>49</v>
      </c>
      <c r="L746" t="s">
        <v>59</v>
      </c>
      <c r="M746" t="s">
        <v>52</v>
      </c>
    </row>
    <row r="747" spans="1:13" x14ac:dyDescent="0.35">
      <c r="A747">
        <v>758</v>
      </c>
      <c r="B747">
        <v>40</v>
      </c>
      <c r="C747" s="1" t="s">
        <v>15</v>
      </c>
      <c r="D747" s="1" t="s">
        <v>30</v>
      </c>
      <c r="E747" s="1" t="s">
        <v>31</v>
      </c>
      <c r="F747">
        <v>3000</v>
      </c>
      <c r="G747">
        <v>56</v>
      </c>
      <c r="H747" s="1" t="s">
        <v>13</v>
      </c>
      <c r="I747" s="1" t="s">
        <v>14</v>
      </c>
      <c r="J747">
        <v>4</v>
      </c>
      <c r="K747" t="s">
        <v>49</v>
      </c>
      <c r="L747" t="s">
        <v>59</v>
      </c>
      <c r="M747" t="s">
        <v>51</v>
      </c>
    </row>
    <row r="748" spans="1:13" x14ac:dyDescent="0.35">
      <c r="A748">
        <v>759</v>
      </c>
      <c r="B748">
        <v>78</v>
      </c>
      <c r="C748" s="1" t="s">
        <v>10</v>
      </c>
      <c r="D748" s="1" t="s">
        <v>32</v>
      </c>
      <c r="E748" s="1" t="s">
        <v>33</v>
      </c>
      <c r="F748">
        <v>18000</v>
      </c>
      <c r="G748">
        <v>58</v>
      </c>
      <c r="H748" s="1" t="s">
        <v>18</v>
      </c>
      <c r="I748" s="1" t="s">
        <v>19</v>
      </c>
      <c r="J748">
        <v>2</v>
      </c>
      <c r="K748" t="s">
        <v>55</v>
      </c>
      <c r="L748" t="s">
        <v>59</v>
      </c>
      <c r="M748" t="s">
        <v>57</v>
      </c>
    </row>
    <row r="749" spans="1:13" x14ac:dyDescent="0.35">
      <c r="A749">
        <v>760</v>
      </c>
      <c r="B749">
        <v>25</v>
      </c>
      <c r="C749" s="1" t="s">
        <v>15</v>
      </c>
      <c r="D749" s="1" t="s">
        <v>34</v>
      </c>
      <c r="E749" s="1" t="s">
        <v>35</v>
      </c>
      <c r="F749">
        <v>100</v>
      </c>
      <c r="G749">
        <v>51</v>
      </c>
      <c r="H749" s="1" t="s">
        <v>13</v>
      </c>
      <c r="I749" s="1" t="s">
        <v>14</v>
      </c>
      <c r="J749">
        <v>5</v>
      </c>
      <c r="K749" t="s">
        <v>53</v>
      </c>
      <c r="L749" t="s">
        <v>59</v>
      </c>
      <c r="M749" t="s">
        <v>51</v>
      </c>
    </row>
    <row r="750" spans="1:13" x14ac:dyDescent="0.35">
      <c r="A750">
        <v>761</v>
      </c>
      <c r="B750">
        <v>52</v>
      </c>
      <c r="C750" s="1" t="s">
        <v>10</v>
      </c>
      <c r="D750" s="1" t="s">
        <v>36</v>
      </c>
      <c r="E750" s="1" t="s">
        <v>37</v>
      </c>
      <c r="F750">
        <v>800</v>
      </c>
      <c r="G750">
        <v>52</v>
      </c>
      <c r="H750" s="1" t="s">
        <v>13</v>
      </c>
      <c r="I750" s="1" t="s">
        <v>19</v>
      </c>
      <c r="J750">
        <v>4</v>
      </c>
      <c r="K750" t="s">
        <v>49</v>
      </c>
      <c r="L750" t="s">
        <v>59</v>
      </c>
      <c r="M750" t="s">
        <v>51</v>
      </c>
    </row>
    <row r="751" spans="1:13" x14ac:dyDescent="0.35">
      <c r="A751">
        <v>762</v>
      </c>
      <c r="B751">
        <v>58</v>
      </c>
      <c r="C751" s="1" t="s">
        <v>15</v>
      </c>
      <c r="D751" s="1" t="s">
        <v>38</v>
      </c>
      <c r="E751" s="1" t="s">
        <v>39</v>
      </c>
      <c r="F751">
        <v>20000</v>
      </c>
      <c r="G751">
        <v>59</v>
      </c>
      <c r="H751" s="1" t="s">
        <v>13</v>
      </c>
      <c r="I751" s="1" t="s">
        <v>14</v>
      </c>
      <c r="J751">
        <v>3</v>
      </c>
      <c r="K751" t="s">
        <v>49</v>
      </c>
      <c r="L751" t="s">
        <v>59</v>
      </c>
      <c r="M751" t="s">
        <v>52</v>
      </c>
    </row>
    <row r="752" spans="1:13" x14ac:dyDescent="0.35">
      <c r="A752">
        <v>763</v>
      </c>
      <c r="B752">
        <v>32</v>
      </c>
      <c r="C752" s="1" t="s">
        <v>10</v>
      </c>
      <c r="D752" s="1" t="s">
        <v>40</v>
      </c>
      <c r="E752" s="1" t="s">
        <v>41</v>
      </c>
      <c r="F752">
        <v>12000</v>
      </c>
      <c r="G752">
        <v>53</v>
      </c>
      <c r="H752" s="1" t="s">
        <v>13</v>
      </c>
      <c r="I752" s="1" t="s">
        <v>14</v>
      </c>
      <c r="J752">
        <v>4</v>
      </c>
      <c r="K752" t="s">
        <v>53</v>
      </c>
      <c r="L752" t="s">
        <v>59</v>
      </c>
      <c r="M752" t="s">
        <v>51</v>
      </c>
    </row>
    <row r="753" spans="1:13" x14ac:dyDescent="0.35">
      <c r="A753">
        <v>764</v>
      </c>
      <c r="B753">
        <v>55</v>
      </c>
      <c r="C753" s="1" t="s">
        <v>15</v>
      </c>
      <c r="D753" s="1" t="s">
        <v>42</v>
      </c>
      <c r="E753" s="1" t="s">
        <v>43</v>
      </c>
      <c r="F753">
        <v>6000</v>
      </c>
      <c r="G753">
        <v>54</v>
      </c>
      <c r="H753" s="1" t="s">
        <v>13</v>
      </c>
      <c r="I753" s="1" t="s">
        <v>14</v>
      </c>
      <c r="J753">
        <v>3</v>
      </c>
      <c r="K753" t="s">
        <v>49</v>
      </c>
      <c r="L753" t="s">
        <v>59</v>
      </c>
      <c r="M753" t="s">
        <v>52</v>
      </c>
    </row>
    <row r="754" spans="1:13" x14ac:dyDescent="0.35">
      <c r="A754">
        <v>765</v>
      </c>
      <c r="B754">
        <v>65</v>
      </c>
      <c r="C754" s="1" t="s">
        <v>10</v>
      </c>
      <c r="D754" s="1" t="s">
        <v>44</v>
      </c>
      <c r="E754" s="1" t="s">
        <v>45</v>
      </c>
      <c r="F754">
        <v>4000</v>
      </c>
      <c r="G754">
        <v>55</v>
      </c>
      <c r="H754" s="1" t="s">
        <v>13</v>
      </c>
      <c r="I754" s="1" t="s">
        <v>19</v>
      </c>
      <c r="J754">
        <v>4</v>
      </c>
      <c r="K754" t="s">
        <v>55</v>
      </c>
      <c r="L754" t="s">
        <v>59</v>
      </c>
      <c r="M754" t="s">
        <v>51</v>
      </c>
    </row>
    <row r="755" spans="1:13" x14ac:dyDescent="0.35">
      <c r="A755">
        <v>766</v>
      </c>
      <c r="B755">
        <v>55</v>
      </c>
      <c r="C755" s="1" t="s">
        <v>10</v>
      </c>
      <c r="D755" s="1" t="s">
        <v>11</v>
      </c>
      <c r="E755" s="1" t="s">
        <v>12</v>
      </c>
      <c r="F755">
        <v>15000</v>
      </c>
      <c r="G755">
        <v>56</v>
      </c>
      <c r="H755" s="1" t="s">
        <v>18</v>
      </c>
      <c r="I755" s="1" t="s">
        <v>14</v>
      </c>
      <c r="J755">
        <v>3</v>
      </c>
      <c r="K755" t="s">
        <v>49</v>
      </c>
      <c r="L755" t="s">
        <v>59</v>
      </c>
      <c r="M755" t="s">
        <v>52</v>
      </c>
    </row>
    <row r="756" spans="1:13" x14ac:dyDescent="0.35">
      <c r="A756">
        <v>767</v>
      </c>
      <c r="B756">
        <v>62</v>
      </c>
      <c r="C756" s="1" t="s">
        <v>15</v>
      </c>
      <c r="D756" s="1" t="s">
        <v>16</v>
      </c>
      <c r="E756" s="1" t="s">
        <v>17</v>
      </c>
      <c r="F756">
        <v>2000</v>
      </c>
      <c r="G756">
        <v>54</v>
      </c>
      <c r="H756" s="1" t="s">
        <v>13</v>
      </c>
      <c r="I756" s="1" t="s">
        <v>19</v>
      </c>
      <c r="J756">
        <v>4</v>
      </c>
      <c r="K756" t="s">
        <v>55</v>
      </c>
      <c r="L756" t="s">
        <v>59</v>
      </c>
      <c r="M756" t="s">
        <v>51</v>
      </c>
    </row>
    <row r="757" spans="1:13" x14ac:dyDescent="0.35">
      <c r="A757">
        <v>768</v>
      </c>
      <c r="B757">
        <v>35</v>
      </c>
      <c r="C757" s="1" t="s">
        <v>10</v>
      </c>
      <c r="D757" s="1" t="s">
        <v>20</v>
      </c>
      <c r="E757" s="1" t="s">
        <v>21</v>
      </c>
      <c r="F757">
        <v>500</v>
      </c>
      <c r="G757">
        <v>52</v>
      </c>
      <c r="H757" s="1" t="s">
        <v>18</v>
      </c>
      <c r="I757" s="1" t="s">
        <v>14</v>
      </c>
      <c r="J757">
        <v>5</v>
      </c>
      <c r="K757" t="s">
        <v>53</v>
      </c>
      <c r="L757" t="s">
        <v>59</v>
      </c>
      <c r="M757" t="s">
        <v>51</v>
      </c>
    </row>
    <row r="758" spans="1:13" x14ac:dyDescent="0.35">
      <c r="A758">
        <v>769</v>
      </c>
      <c r="B758">
        <v>78</v>
      </c>
      <c r="C758" s="1" t="s">
        <v>15</v>
      </c>
      <c r="D758" s="1" t="s">
        <v>22</v>
      </c>
      <c r="E758" s="1" t="s">
        <v>23</v>
      </c>
      <c r="F758">
        <v>10000</v>
      </c>
      <c r="G758">
        <v>59</v>
      </c>
      <c r="H758" s="1" t="s">
        <v>13</v>
      </c>
      <c r="I758" s="1" t="s">
        <v>19</v>
      </c>
      <c r="J758">
        <v>2</v>
      </c>
      <c r="K758" t="s">
        <v>55</v>
      </c>
      <c r="L758" t="s">
        <v>59</v>
      </c>
      <c r="M758" t="s">
        <v>57</v>
      </c>
    </row>
    <row r="759" spans="1:13" x14ac:dyDescent="0.35">
      <c r="A759">
        <v>770</v>
      </c>
      <c r="B759">
        <v>53</v>
      </c>
      <c r="C759" s="1" t="s">
        <v>10</v>
      </c>
      <c r="D759" s="1" t="s">
        <v>24</v>
      </c>
      <c r="E759" s="1" t="s">
        <v>25</v>
      </c>
      <c r="F759">
        <v>25000</v>
      </c>
      <c r="G759">
        <v>61</v>
      </c>
      <c r="H759" s="1" t="s">
        <v>18</v>
      </c>
      <c r="I759" s="1" t="s">
        <v>14</v>
      </c>
      <c r="J759">
        <v>4</v>
      </c>
      <c r="K759" t="s">
        <v>49</v>
      </c>
      <c r="L759" t="s">
        <v>59</v>
      </c>
      <c r="M759" t="s">
        <v>51</v>
      </c>
    </row>
    <row r="760" spans="1:13" x14ac:dyDescent="0.35">
      <c r="A760">
        <v>771</v>
      </c>
      <c r="B760">
        <v>72</v>
      </c>
      <c r="C760" s="1" t="s">
        <v>15</v>
      </c>
      <c r="D760" s="1" t="s">
        <v>26</v>
      </c>
      <c r="E760" s="1" t="s">
        <v>27</v>
      </c>
      <c r="F760">
        <v>1000</v>
      </c>
      <c r="G760">
        <v>55</v>
      </c>
      <c r="H760" s="1" t="s">
        <v>13</v>
      </c>
      <c r="I760" s="1" t="s">
        <v>19</v>
      </c>
      <c r="J760">
        <v>4</v>
      </c>
      <c r="K760" t="s">
        <v>55</v>
      </c>
      <c r="L760" t="s">
        <v>59</v>
      </c>
      <c r="M760" t="s">
        <v>51</v>
      </c>
    </row>
    <row r="761" spans="1:13" x14ac:dyDescent="0.35">
      <c r="A761">
        <v>772</v>
      </c>
      <c r="B761">
        <v>60</v>
      </c>
      <c r="C761" s="1" t="s">
        <v>10</v>
      </c>
      <c r="D761" s="1" t="s">
        <v>28</v>
      </c>
      <c r="E761" s="1" t="s">
        <v>29</v>
      </c>
      <c r="F761">
        <v>8000</v>
      </c>
      <c r="G761">
        <v>57</v>
      </c>
      <c r="H761" s="1" t="s">
        <v>18</v>
      </c>
      <c r="I761" s="1" t="s">
        <v>14</v>
      </c>
      <c r="J761">
        <v>3</v>
      </c>
      <c r="K761" t="s">
        <v>49</v>
      </c>
      <c r="L761" t="s">
        <v>59</v>
      </c>
      <c r="M761" t="s">
        <v>52</v>
      </c>
    </row>
    <row r="762" spans="1:13" x14ac:dyDescent="0.35">
      <c r="A762">
        <v>773</v>
      </c>
      <c r="B762">
        <v>45</v>
      </c>
      <c r="C762" s="1" t="s">
        <v>15</v>
      </c>
      <c r="D762" s="1" t="s">
        <v>30</v>
      </c>
      <c r="E762" s="1" t="s">
        <v>31</v>
      </c>
      <c r="F762">
        <v>3000</v>
      </c>
      <c r="G762">
        <v>57</v>
      </c>
      <c r="H762" s="1" t="s">
        <v>13</v>
      </c>
      <c r="I762" s="1" t="s">
        <v>14</v>
      </c>
      <c r="J762">
        <v>4</v>
      </c>
      <c r="K762" t="s">
        <v>49</v>
      </c>
      <c r="L762" t="s">
        <v>59</v>
      </c>
      <c r="M762" t="s">
        <v>51</v>
      </c>
    </row>
    <row r="763" spans="1:13" x14ac:dyDescent="0.35">
      <c r="A763">
        <v>774</v>
      </c>
      <c r="B763">
        <v>75</v>
      </c>
      <c r="C763" s="1" t="s">
        <v>10</v>
      </c>
      <c r="D763" s="1" t="s">
        <v>32</v>
      </c>
      <c r="E763" s="1" t="s">
        <v>33</v>
      </c>
      <c r="F763">
        <v>18000</v>
      </c>
      <c r="G763">
        <v>59</v>
      </c>
      <c r="H763" s="1" t="s">
        <v>18</v>
      </c>
      <c r="I763" s="1" t="s">
        <v>19</v>
      </c>
      <c r="J763">
        <v>2</v>
      </c>
      <c r="K763" t="s">
        <v>55</v>
      </c>
      <c r="L763" t="s">
        <v>59</v>
      </c>
      <c r="M763" t="s">
        <v>57</v>
      </c>
    </row>
    <row r="764" spans="1:13" x14ac:dyDescent="0.35">
      <c r="A764">
        <v>775</v>
      </c>
      <c r="B764">
        <v>28</v>
      </c>
      <c r="C764" s="1" t="s">
        <v>15</v>
      </c>
      <c r="D764" s="1" t="s">
        <v>34</v>
      </c>
      <c r="E764" s="1" t="s">
        <v>35</v>
      </c>
      <c r="F764">
        <v>100</v>
      </c>
      <c r="G764">
        <v>52</v>
      </c>
      <c r="H764" s="1" t="s">
        <v>13</v>
      </c>
      <c r="I764" s="1" t="s">
        <v>14</v>
      </c>
      <c r="J764">
        <v>5</v>
      </c>
      <c r="K764" t="s">
        <v>53</v>
      </c>
      <c r="L764" t="s">
        <v>59</v>
      </c>
      <c r="M764" t="s">
        <v>51</v>
      </c>
    </row>
    <row r="765" spans="1:13" x14ac:dyDescent="0.35">
      <c r="A765">
        <v>776</v>
      </c>
      <c r="B765">
        <v>52</v>
      </c>
      <c r="C765" s="1" t="s">
        <v>10</v>
      </c>
      <c r="D765" s="1" t="s">
        <v>36</v>
      </c>
      <c r="E765" s="1" t="s">
        <v>37</v>
      </c>
      <c r="F765">
        <v>800</v>
      </c>
      <c r="G765">
        <v>53</v>
      </c>
      <c r="H765" s="1" t="s">
        <v>13</v>
      </c>
      <c r="I765" s="1" t="s">
        <v>19</v>
      </c>
      <c r="J765">
        <v>4</v>
      </c>
      <c r="K765" t="s">
        <v>49</v>
      </c>
      <c r="L765" t="s">
        <v>59</v>
      </c>
      <c r="M765" t="s">
        <v>51</v>
      </c>
    </row>
    <row r="766" spans="1:13" x14ac:dyDescent="0.35">
      <c r="A766">
        <v>777</v>
      </c>
      <c r="B766">
        <v>67</v>
      </c>
      <c r="C766" s="1" t="s">
        <v>15</v>
      </c>
      <c r="D766" s="1" t="s">
        <v>38</v>
      </c>
      <c r="E766" s="1" t="s">
        <v>39</v>
      </c>
      <c r="F766">
        <v>20000</v>
      </c>
      <c r="G766">
        <v>60</v>
      </c>
      <c r="H766" s="1" t="s">
        <v>13</v>
      </c>
      <c r="I766" s="1" t="s">
        <v>14</v>
      </c>
      <c r="J766">
        <v>3</v>
      </c>
      <c r="K766" t="s">
        <v>55</v>
      </c>
      <c r="L766" t="s">
        <v>59</v>
      </c>
      <c r="M766" t="s">
        <v>52</v>
      </c>
    </row>
    <row r="767" spans="1:13" x14ac:dyDescent="0.35">
      <c r="A767">
        <v>778</v>
      </c>
      <c r="B767">
        <v>35</v>
      </c>
      <c r="C767" s="1" t="s">
        <v>10</v>
      </c>
      <c r="D767" s="1" t="s">
        <v>40</v>
      </c>
      <c r="E767" s="1" t="s">
        <v>41</v>
      </c>
      <c r="F767">
        <v>12000</v>
      </c>
      <c r="G767">
        <v>54</v>
      </c>
      <c r="H767" s="1" t="s">
        <v>13</v>
      </c>
      <c r="I767" s="1" t="s">
        <v>14</v>
      </c>
      <c r="J767">
        <v>4</v>
      </c>
      <c r="K767" t="s">
        <v>53</v>
      </c>
      <c r="L767" t="s">
        <v>59</v>
      </c>
      <c r="M767" t="s">
        <v>51</v>
      </c>
    </row>
    <row r="768" spans="1:13" x14ac:dyDescent="0.35">
      <c r="A768">
        <v>779</v>
      </c>
      <c r="B768">
        <v>50</v>
      </c>
      <c r="C768" s="1" t="s">
        <v>15</v>
      </c>
      <c r="D768" s="1" t="s">
        <v>42</v>
      </c>
      <c r="E768" s="1" t="s">
        <v>43</v>
      </c>
      <c r="F768">
        <v>6000</v>
      </c>
      <c r="G768">
        <v>55</v>
      </c>
      <c r="H768" s="1" t="s">
        <v>13</v>
      </c>
      <c r="I768" s="1" t="s">
        <v>14</v>
      </c>
      <c r="J768">
        <v>3</v>
      </c>
      <c r="K768" t="s">
        <v>49</v>
      </c>
      <c r="L768" t="s">
        <v>59</v>
      </c>
      <c r="M768" t="s">
        <v>52</v>
      </c>
    </row>
    <row r="769" spans="1:13" x14ac:dyDescent="0.35">
      <c r="A769">
        <v>780</v>
      </c>
      <c r="B769">
        <v>60</v>
      </c>
      <c r="C769" s="1" t="s">
        <v>10</v>
      </c>
      <c r="D769" s="1" t="s">
        <v>44</v>
      </c>
      <c r="E769" s="1" t="s">
        <v>45</v>
      </c>
      <c r="F769">
        <v>4000</v>
      </c>
      <c r="G769">
        <v>56</v>
      </c>
      <c r="H769" s="1" t="s">
        <v>13</v>
      </c>
      <c r="I769" s="1" t="s">
        <v>19</v>
      </c>
      <c r="J769">
        <v>4</v>
      </c>
      <c r="K769" t="s">
        <v>49</v>
      </c>
      <c r="L769" t="s">
        <v>59</v>
      </c>
      <c r="M769" t="s">
        <v>51</v>
      </c>
    </row>
    <row r="770" spans="1:13" x14ac:dyDescent="0.35">
      <c r="A770">
        <v>781</v>
      </c>
      <c r="B770">
        <v>48</v>
      </c>
      <c r="C770" s="1" t="s">
        <v>10</v>
      </c>
      <c r="D770" s="1" t="s">
        <v>11</v>
      </c>
      <c r="E770" s="1" t="s">
        <v>12</v>
      </c>
      <c r="F770">
        <v>15000</v>
      </c>
      <c r="G770">
        <v>57</v>
      </c>
      <c r="H770" s="1" t="s">
        <v>18</v>
      </c>
      <c r="I770" s="1" t="s">
        <v>14</v>
      </c>
      <c r="J770">
        <v>4</v>
      </c>
      <c r="K770" t="s">
        <v>49</v>
      </c>
      <c r="L770" t="s">
        <v>59</v>
      </c>
      <c r="M770" t="s">
        <v>51</v>
      </c>
    </row>
    <row r="771" spans="1:13" x14ac:dyDescent="0.35">
      <c r="A771">
        <v>782</v>
      </c>
      <c r="B771">
        <v>65</v>
      </c>
      <c r="C771" s="1" t="s">
        <v>15</v>
      </c>
      <c r="D771" s="1" t="s">
        <v>16</v>
      </c>
      <c r="E771" s="1" t="s">
        <v>17</v>
      </c>
      <c r="F771">
        <v>2000</v>
      </c>
      <c r="G771">
        <v>55</v>
      </c>
      <c r="H771" s="1" t="s">
        <v>13</v>
      </c>
      <c r="I771" s="1" t="s">
        <v>19</v>
      </c>
      <c r="J771">
        <v>3</v>
      </c>
      <c r="K771" t="s">
        <v>55</v>
      </c>
      <c r="L771" t="s">
        <v>59</v>
      </c>
      <c r="M771" t="s">
        <v>52</v>
      </c>
    </row>
    <row r="772" spans="1:13" x14ac:dyDescent="0.35">
      <c r="A772">
        <v>783</v>
      </c>
      <c r="B772">
        <v>30</v>
      </c>
      <c r="C772" s="1" t="s">
        <v>10</v>
      </c>
      <c r="D772" s="1" t="s">
        <v>20</v>
      </c>
      <c r="E772" s="1" t="s">
        <v>21</v>
      </c>
      <c r="F772">
        <v>500</v>
      </c>
      <c r="G772">
        <v>53</v>
      </c>
      <c r="H772" s="1" t="s">
        <v>13</v>
      </c>
      <c r="I772" s="1" t="s">
        <v>14</v>
      </c>
      <c r="J772">
        <v>5</v>
      </c>
      <c r="K772" t="s">
        <v>53</v>
      </c>
      <c r="L772" t="s">
        <v>59</v>
      </c>
      <c r="M772" t="s">
        <v>51</v>
      </c>
    </row>
    <row r="773" spans="1:13" x14ac:dyDescent="0.35">
      <c r="A773">
        <v>785</v>
      </c>
      <c r="B773">
        <v>55</v>
      </c>
      <c r="C773" s="1" t="s">
        <v>10</v>
      </c>
      <c r="D773" s="1" t="s">
        <v>24</v>
      </c>
      <c r="E773" s="1" t="s">
        <v>25</v>
      </c>
      <c r="F773">
        <v>25000</v>
      </c>
      <c r="G773">
        <v>62</v>
      </c>
      <c r="H773" s="1" t="s">
        <v>13</v>
      </c>
      <c r="I773" s="1" t="s">
        <v>14</v>
      </c>
      <c r="J773">
        <v>4</v>
      </c>
      <c r="K773" t="s">
        <v>49</v>
      </c>
      <c r="L773" t="s">
        <v>59</v>
      </c>
      <c r="M773" t="s">
        <v>51</v>
      </c>
    </row>
    <row r="774" spans="1:13" x14ac:dyDescent="0.35">
      <c r="A774">
        <v>786</v>
      </c>
      <c r="B774">
        <v>68</v>
      </c>
      <c r="C774" s="1" t="s">
        <v>15</v>
      </c>
      <c r="D774" s="1" t="s">
        <v>26</v>
      </c>
      <c r="E774" s="1" t="s">
        <v>27</v>
      </c>
      <c r="F774">
        <v>1000</v>
      </c>
      <c r="G774">
        <v>56</v>
      </c>
      <c r="H774" s="1" t="s">
        <v>13</v>
      </c>
      <c r="I774" s="1" t="s">
        <v>19</v>
      </c>
      <c r="J774">
        <v>4</v>
      </c>
      <c r="K774" t="s">
        <v>55</v>
      </c>
      <c r="L774" t="s">
        <v>59</v>
      </c>
      <c r="M774" t="s">
        <v>51</v>
      </c>
    </row>
    <row r="775" spans="1:13" x14ac:dyDescent="0.35">
      <c r="A775">
        <v>787</v>
      </c>
      <c r="B775">
        <v>45</v>
      </c>
      <c r="C775" s="1" t="s">
        <v>10</v>
      </c>
      <c r="D775" s="1" t="s">
        <v>28</v>
      </c>
      <c r="E775" s="1" t="s">
        <v>29</v>
      </c>
      <c r="F775">
        <v>8000</v>
      </c>
      <c r="G775">
        <v>58</v>
      </c>
      <c r="H775" s="1" t="s">
        <v>13</v>
      </c>
      <c r="I775" s="1" t="s">
        <v>14</v>
      </c>
      <c r="J775">
        <v>3</v>
      </c>
      <c r="K775" t="s">
        <v>49</v>
      </c>
      <c r="L775" t="s">
        <v>59</v>
      </c>
      <c r="M775" t="s">
        <v>52</v>
      </c>
    </row>
    <row r="776" spans="1:13" x14ac:dyDescent="0.35">
      <c r="A776">
        <v>788</v>
      </c>
      <c r="B776">
        <v>40</v>
      </c>
      <c r="C776" s="1" t="s">
        <v>15</v>
      </c>
      <c r="D776" s="1" t="s">
        <v>30</v>
      </c>
      <c r="E776" s="1" t="s">
        <v>31</v>
      </c>
      <c r="F776">
        <v>3000</v>
      </c>
      <c r="G776">
        <v>58</v>
      </c>
      <c r="H776" s="1" t="s">
        <v>13</v>
      </c>
      <c r="I776" s="1" t="s">
        <v>14</v>
      </c>
      <c r="J776">
        <v>4</v>
      </c>
      <c r="K776" t="s">
        <v>49</v>
      </c>
      <c r="L776" t="s">
        <v>59</v>
      </c>
      <c r="M776" t="s">
        <v>51</v>
      </c>
    </row>
    <row r="777" spans="1:13" x14ac:dyDescent="0.35">
      <c r="A777">
        <v>789</v>
      </c>
      <c r="B777">
        <v>78</v>
      </c>
      <c r="C777" s="1" t="s">
        <v>10</v>
      </c>
      <c r="D777" s="1" t="s">
        <v>32</v>
      </c>
      <c r="E777" s="1" t="s">
        <v>33</v>
      </c>
      <c r="F777">
        <v>18000</v>
      </c>
      <c r="G777">
        <v>60</v>
      </c>
      <c r="H777" s="1" t="s">
        <v>18</v>
      </c>
      <c r="I777" s="1" t="s">
        <v>19</v>
      </c>
      <c r="J777">
        <v>2</v>
      </c>
      <c r="K777" t="s">
        <v>55</v>
      </c>
      <c r="L777" t="s">
        <v>59</v>
      </c>
      <c r="M777" t="s">
        <v>57</v>
      </c>
    </row>
    <row r="778" spans="1:13" x14ac:dyDescent="0.35">
      <c r="A778">
        <v>790</v>
      </c>
      <c r="B778">
        <v>25</v>
      </c>
      <c r="C778" s="1" t="s">
        <v>15</v>
      </c>
      <c r="D778" s="1" t="s">
        <v>34</v>
      </c>
      <c r="E778" s="1" t="s">
        <v>35</v>
      </c>
      <c r="F778">
        <v>100</v>
      </c>
      <c r="G778">
        <v>53</v>
      </c>
      <c r="H778" s="1" t="s">
        <v>13</v>
      </c>
      <c r="I778" s="1" t="s">
        <v>14</v>
      </c>
      <c r="J778">
        <v>5</v>
      </c>
      <c r="K778" t="s">
        <v>53</v>
      </c>
      <c r="L778" t="s">
        <v>59</v>
      </c>
      <c r="M778" t="s">
        <v>51</v>
      </c>
    </row>
    <row r="779" spans="1:13" x14ac:dyDescent="0.35">
      <c r="A779">
        <v>791</v>
      </c>
      <c r="B779">
        <v>52</v>
      </c>
      <c r="C779" s="1" t="s">
        <v>10</v>
      </c>
      <c r="D779" s="1" t="s">
        <v>36</v>
      </c>
      <c r="E779" s="1" t="s">
        <v>37</v>
      </c>
      <c r="F779">
        <v>800</v>
      </c>
      <c r="G779">
        <v>54</v>
      </c>
      <c r="H779" s="1" t="s">
        <v>13</v>
      </c>
      <c r="I779" s="1" t="s">
        <v>19</v>
      </c>
      <c r="J779">
        <v>4</v>
      </c>
      <c r="K779" t="s">
        <v>49</v>
      </c>
      <c r="L779" t="s">
        <v>59</v>
      </c>
      <c r="M779" t="s">
        <v>51</v>
      </c>
    </row>
    <row r="780" spans="1:13" x14ac:dyDescent="0.35">
      <c r="A780">
        <v>792</v>
      </c>
      <c r="B780">
        <v>58</v>
      </c>
      <c r="C780" s="1" t="s">
        <v>15</v>
      </c>
      <c r="D780" s="1" t="s">
        <v>38</v>
      </c>
      <c r="E780" s="1" t="s">
        <v>39</v>
      </c>
      <c r="F780">
        <v>20000</v>
      </c>
      <c r="G780">
        <v>61</v>
      </c>
      <c r="H780" s="1" t="s">
        <v>13</v>
      </c>
      <c r="I780" s="1" t="s">
        <v>14</v>
      </c>
      <c r="J780">
        <v>3</v>
      </c>
      <c r="K780" t="s">
        <v>49</v>
      </c>
      <c r="L780" t="s">
        <v>59</v>
      </c>
      <c r="M780" t="s">
        <v>52</v>
      </c>
    </row>
    <row r="781" spans="1:13" x14ac:dyDescent="0.35">
      <c r="A781">
        <v>793</v>
      </c>
      <c r="B781">
        <v>32</v>
      </c>
      <c r="C781" s="1" t="s">
        <v>10</v>
      </c>
      <c r="D781" s="1" t="s">
        <v>40</v>
      </c>
      <c r="E781" s="1" t="s">
        <v>41</v>
      </c>
      <c r="F781">
        <v>12000</v>
      </c>
      <c r="G781">
        <v>55</v>
      </c>
      <c r="H781" s="1" t="s">
        <v>13</v>
      </c>
      <c r="I781" s="1" t="s">
        <v>14</v>
      </c>
      <c r="J781">
        <v>4</v>
      </c>
      <c r="K781" t="s">
        <v>53</v>
      </c>
      <c r="L781" t="s">
        <v>59</v>
      </c>
      <c r="M781" t="s">
        <v>51</v>
      </c>
    </row>
    <row r="782" spans="1:13" x14ac:dyDescent="0.35">
      <c r="A782">
        <v>794</v>
      </c>
      <c r="B782">
        <v>55</v>
      </c>
      <c r="C782" s="1" t="s">
        <v>15</v>
      </c>
      <c r="D782" s="1" t="s">
        <v>42</v>
      </c>
      <c r="E782" s="1" t="s">
        <v>43</v>
      </c>
      <c r="F782">
        <v>6000</v>
      </c>
      <c r="G782">
        <v>56</v>
      </c>
      <c r="H782" s="1" t="s">
        <v>13</v>
      </c>
      <c r="I782" s="1" t="s">
        <v>14</v>
      </c>
      <c r="J782">
        <v>3</v>
      </c>
      <c r="K782" t="s">
        <v>49</v>
      </c>
      <c r="L782" t="s">
        <v>59</v>
      </c>
      <c r="M782" t="s">
        <v>52</v>
      </c>
    </row>
    <row r="783" spans="1:13" x14ac:dyDescent="0.35">
      <c r="A783">
        <v>795</v>
      </c>
      <c r="B783">
        <v>65</v>
      </c>
      <c r="C783" s="1" t="s">
        <v>10</v>
      </c>
      <c r="D783" s="1" t="s">
        <v>44</v>
      </c>
      <c r="E783" s="1" t="s">
        <v>45</v>
      </c>
      <c r="F783">
        <v>4000</v>
      </c>
      <c r="G783">
        <v>57</v>
      </c>
      <c r="H783" s="1" t="s">
        <v>13</v>
      </c>
      <c r="I783" s="1" t="s">
        <v>19</v>
      </c>
      <c r="J783">
        <v>4</v>
      </c>
      <c r="K783" t="s">
        <v>55</v>
      </c>
      <c r="L783" t="s">
        <v>59</v>
      </c>
      <c r="M783" t="s">
        <v>51</v>
      </c>
    </row>
    <row r="784" spans="1:13" x14ac:dyDescent="0.35">
      <c r="A784">
        <v>796</v>
      </c>
      <c r="B784">
        <v>55</v>
      </c>
      <c r="C784" s="1" t="s">
        <v>10</v>
      </c>
      <c r="D784" s="1" t="s">
        <v>11</v>
      </c>
      <c r="E784" s="1" t="s">
        <v>12</v>
      </c>
      <c r="F784">
        <v>15000</v>
      </c>
      <c r="G784">
        <v>58</v>
      </c>
      <c r="H784" s="1" t="s">
        <v>18</v>
      </c>
      <c r="I784" s="1" t="s">
        <v>14</v>
      </c>
      <c r="J784">
        <v>3</v>
      </c>
      <c r="K784" t="s">
        <v>49</v>
      </c>
      <c r="L784" t="s">
        <v>59</v>
      </c>
      <c r="M784" t="s">
        <v>52</v>
      </c>
    </row>
    <row r="785" spans="1:13" x14ac:dyDescent="0.35">
      <c r="A785">
        <v>797</v>
      </c>
      <c r="B785">
        <v>62</v>
      </c>
      <c r="C785" s="1" t="s">
        <v>15</v>
      </c>
      <c r="D785" s="1" t="s">
        <v>16</v>
      </c>
      <c r="E785" s="1" t="s">
        <v>17</v>
      </c>
      <c r="F785">
        <v>2000</v>
      </c>
      <c r="G785">
        <v>56</v>
      </c>
      <c r="H785" s="1" t="s">
        <v>13</v>
      </c>
      <c r="I785" s="1" t="s">
        <v>19</v>
      </c>
      <c r="J785">
        <v>4</v>
      </c>
      <c r="K785" t="s">
        <v>55</v>
      </c>
      <c r="L785" t="s">
        <v>59</v>
      </c>
      <c r="M785" t="s">
        <v>51</v>
      </c>
    </row>
    <row r="786" spans="1:13" x14ac:dyDescent="0.35">
      <c r="A786">
        <v>798</v>
      </c>
      <c r="B786">
        <v>35</v>
      </c>
      <c r="C786" s="1" t="s">
        <v>10</v>
      </c>
      <c r="D786" s="1" t="s">
        <v>20</v>
      </c>
      <c r="E786" s="1" t="s">
        <v>21</v>
      </c>
      <c r="F786">
        <v>500</v>
      </c>
      <c r="G786">
        <v>54</v>
      </c>
      <c r="H786" s="1" t="s">
        <v>18</v>
      </c>
      <c r="I786" s="1" t="s">
        <v>14</v>
      </c>
      <c r="J786">
        <v>5</v>
      </c>
      <c r="K786" t="s">
        <v>53</v>
      </c>
      <c r="L786" t="s">
        <v>59</v>
      </c>
      <c r="M786" t="s">
        <v>51</v>
      </c>
    </row>
    <row r="787" spans="1:13" x14ac:dyDescent="0.35">
      <c r="A787">
        <v>799</v>
      </c>
      <c r="B787">
        <v>78</v>
      </c>
      <c r="C787" s="1" t="s">
        <v>15</v>
      </c>
      <c r="D787" s="1" t="s">
        <v>22</v>
      </c>
      <c r="E787" s="1" t="s">
        <v>23</v>
      </c>
      <c r="F787">
        <v>10000</v>
      </c>
      <c r="G787">
        <v>61</v>
      </c>
      <c r="H787" s="1" t="s">
        <v>13</v>
      </c>
      <c r="I787" s="1" t="s">
        <v>19</v>
      </c>
      <c r="J787">
        <v>2</v>
      </c>
      <c r="K787" t="s">
        <v>55</v>
      </c>
      <c r="L787" t="s">
        <v>59</v>
      </c>
      <c r="M787" t="s">
        <v>57</v>
      </c>
    </row>
    <row r="788" spans="1:13" x14ac:dyDescent="0.35">
      <c r="A788">
        <v>800</v>
      </c>
      <c r="B788">
        <v>53</v>
      </c>
      <c r="C788" s="1" t="s">
        <v>10</v>
      </c>
      <c r="D788" s="1" t="s">
        <v>24</v>
      </c>
      <c r="E788" s="1" t="s">
        <v>25</v>
      </c>
      <c r="F788">
        <v>25000</v>
      </c>
      <c r="G788">
        <v>63</v>
      </c>
      <c r="H788" s="1" t="s">
        <v>18</v>
      </c>
      <c r="I788" s="1" t="s">
        <v>14</v>
      </c>
      <c r="J788">
        <v>4</v>
      </c>
      <c r="K788" t="s">
        <v>49</v>
      </c>
      <c r="L788" t="s">
        <v>59</v>
      </c>
      <c r="M788" t="s">
        <v>51</v>
      </c>
    </row>
    <row r="789" spans="1:13" x14ac:dyDescent="0.35">
      <c r="A789">
        <v>801</v>
      </c>
      <c r="B789">
        <v>72</v>
      </c>
      <c r="C789" s="1" t="s">
        <v>15</v>
      </c>
      <c r="D789" s="1" t="s">
        <v>26</v>
      </c>
      <c r="E789" s="1" t="s">
        <v>27</v>
      </c>
      <c r="F789">
        <v>1000</v>
      </c>
      <c r="G789">
        <v>57</v>
      </c>
      <c r="H789" s="1" t="s">
        <v>13</v>
      </c>
      <c r="I789" s="1" t="s">
        <v>19</v>
      </c>
      <c r="J789">
        <v>4</v>
      </c>
      <c r="K789" t="s">
        <v>55</v>
      </c>
      <c r="L789" t="s">
        <v>59</v>
      </c>
      <c r="M789" t="s">
        <v>51</v>
      </c>
    </row>
    <row r="790" spans="1:13" x14ac:dyDescent="0.35">
      <c r="A790">
        <v>802</v>
      </c>
      <c r="B790">
        <v>60</v>
      </c>
      <c r="C790" s="1" t="s">
        <v>10</v>
      </c>
      <c r="D790" s="1" t="s">
        <v>28</v>
      </c>
      <c r="E790" s="1" t="s">
        <v>29</v>
      </c>
      <c r="F790">
        <v>8000</v>
      </c>
      <c r="G790">
        <v>59</v>
      </c>
      <c r="H790" s="1" t="s">
        <v>18</v>
      </c>
      <c r="I790" s="1" t="s">
        <v>14</v>
      </c>
      <c r="J790">
        <v>3</v>
      </c>
      <c r="K790" t="s">
        <v>49</v>
      </c>
      <c r="L790" t="s">
        <v>59</v>
      </c>
      <c r="M790" t="s">
        <v>52</v>
      </c>
    </row>
    <row r="791" spans="1:13" x14ac:dyDescent="0.35">
      <c r="A791">
        <v>803</v>
      </c>
      <c r="B791">
        <v>45</v>
      </c>
      <c r="C791" s="1" t="s">
        <v>15</v>
      </c>
      <c r="D791" s="1" t="s">
        <v>30</v>
      </c>
      <c r="E791" s="1" t="s">
        <v>31</v>
      </c>
      <c r="F791">
        <v>3000</v>
      </c>
      <c r="G791">
        <v>59</v>
      </c>
      <c r="H791" s="1" t="s">
        <v>13</v>
      </c>
      <c r="I791" s="1" t="s">
        <v>14</v>
      </c>
      <c r="J791">
        <v>4</v>
      </c>
      <c r="K791" t="s">
        <v>49</v>
      </c>
      <c r="L791" t="s">
        <v>59</v>
      </c>
      <c r="M791" t="s">
        <v>51</v>
      </c>
    </row>
    <row r="792" spans="1:13" x14ac:dyDescent="0.35">
      <c r="A792">
        <v>804</v>
      </c>
      <c r="B792">
        <v>75</v>
      </c>
      <c r="C792" s="1" t="s">
        <v>10</v>
      </c>
      <c r="D792" s="1" t="s">
        <v>32</v>
      </c>
      <c r="E792" s="1" t="s">
        <v>33</v>
      </c>
      <c r="F792">
        <v>18000</v>
      </c>
      <c r="G792">
        <v>61</v>
      </c>
      <c r="H792" s="1" t="s">
        <v>18</v>
      </c>
      <c r="I792" s="1" t="s">
        <v>19</v>
      </c>
      <c r="J792">
        <v>2</v>
      </c>
      <c r="K792" t="s">
        <v>55</v>
      </c>
      <c r="L792" t="s">
        <v>59</v>
      </c>
      <c r="M792" t="s">
        <v>57</v>
      </c>
    </row>
    <row r="793" spans="1:13" x14ac:dyDescent="0.35">
      <c r="A793">
        <v>805</v>
      </c>
      <c r="B793">
        <v>28</v>
      </c>
      <c r="C793" s="1" t="s">
        <v>15</v>
      </c>
      <c r="D793" s="1" t="s">
        <v>34</v>
      </c>
      <c r="E793" s="1" t="s">
        <v>35</v>
      </c>
      <c r="F793">
        <v>100</v>
      </c>
      <c r="G793">
        <v>54</v>
      </c>
      <c r="H793" s="1" t="s">
        <v>13</v>
      </c>
      <c r="I793" s="1" t="s">
        <v>14</v>
      </c>
      <c r="J793">
        <v>5</v>
      </c>
      <c r="K793" t="s">
        <v>53</v>
      </c>
      <c r="L793" t="s">
        <v>59</v>
      </c>
      <c r="M793" t="s">
        <v>51</v>
      </c>
    </row>
    <row r="794" spans="1:13" x14ac:dyDescent="0.35">
      <c r="A794">
        <v>806</v>
      </c>
      <c r="B794">
        <v>52</v>
      </c>
      <c r="C794" s="1" t="s">
        <v>10</v>
      </c>
      <c r="D794" s="1" t="s">
        <v>36</v>
      </c>
      <c r="E794" s="1" t="s">
        <v>37</v>
      </c>
      <c r="F794">
        <v>800</v>
      </c>
      <c r="G794">
        <v>55</v>
      </c>
      <c r="H794" s="1" t="s">
        <v>13</v>
      </c>
      <c r="I794" s="1" t="s">
        <v>19</v>
      </c>
      <c r="J794">
        <v>4</v>
      </c>
      <c r="K794" t="s">
        <v>49</v>
      </c>
      <c r="L794" t="s">
        <v>59</v>
      </c>
      <c r="M794" t="s">
        <v>51</v>
      </c>
    </row>
    <row r="795" spans="1:13" x14ac:dyDescent="0.35">
      <c r="A795">
        <v>807</v>
      </c>
      <c r="B795">
        <v>67</v>
      </c>
      <c r="C795" s="1" t="s">
        <v>15</v>
      </c>
      <c r="D795" s="1" t="s">
        <v>38</v>
      </c>
      <c r="E795" s="1" t="s">
        <v>39</v>
      </c>
      <c r="F795">
        <v>20000</v>
      </c>
      <c r="G795">
        <v>62</v>
      </c>
      <c r="H795" s="1" t="s">
        <v>13</v>
      </c>
      <c r="I795" s="1" t="s">
        <v>14</v>
      </c>
      <c r="J795">
        <v>3</v>
      </c>
      <c r="K795" t="s">
        <v>55</v>
      </c>
      <c r="L795" t="s">
        <v>59</v>
      </c>
      <c r="M795" t="s">
        <v>52</v>
      </c>
    </row>
    <row r="796" spans="1:13" x14ac:dyDescent="0.35">
      <c r="A796">
        <v>808</v>
      </c>
      <c r="B796">
        <v>35</v>
      </c>
      <c r="C796" s="1" t="s">
        <v>10</v>
      </c>
      <c r="D796" s="1" t="s">
        <v>40</v>
      </c>
      <c r="E796" s="1" t="s">
        <v>41</v>
      </c>
      <c r="F796">
        <v>12000</v>
      </c>
      <c r="G796">
        <v>56</v>
      </c>
      <c r="H796" s="1" t="s">
        <v>13</v>
      </c>
      <c r="I796" s="1" t="s">
        <v>14</v>
      </c>
      <c r="J796">
        <v>4</v>
      </c>
      <c r="K796" t="s">
        <v>53</v>
      </c>
      <c r="L796" t="s">
        <v>59</v>
      </c>
      <c r="M796" t="s">
        <v>51</v>
      </c>
    </row>
    <row r="797" spans="1:13" x14ac:dyDescent="0.35">
      <c r="A797">
        <v>809</v>
      </c>
      <c r="B797">
        <v>50</v>
      </c>
      <c r="C797" s="1" t="s">
        <v>15</v>
      </c>
      <c r="D797" s="1" t="s">
        <v>42</v>
      </c>
      <c r="E797" s="1" t="s">
        <v>43</v>
      </c>
      <c r="F797">
        <v>6000</v>
      </c>
      <c r="G797">
        <v>57</v>
      </c>
      <c r="H797" s="1" t="s">
        <v>13</v>
      </c>
      <c r="I797" s="1" t="s">
        <v>14</v>
      </c>
      <c r="J797">
        <v>3</v>
      </c>
      <c r="K797" t="s">
        <v>49</v>
      </c>
      <c r="L797" t="s">
        <v>59</v>
      </c>
      <c r="M797" t="s">
        <v>52</v>
      </c>
    </row>
    <row r="798" spans="1:13" x14ac:dyDescent="0.35">
      <c r="A798">
        <v>810</v>
      </c>
      <c r="B798">
        <v>60</v>
      </c>
      <c r="C798" s="1" t="s">
        <v>10</v>
      </c>
      <c r="D798" s="1" t="s">
        <v>44</v>
      </c>
      <c r="E798" s="1" t="s">
        <v>45</v>
      </c>
      <c r="F798">
        <v>4000</v>
      </c>
      <c r="G798">
        <v>58</v>
      </c>
      <c r="H798" s="1" t="s">
        <v>13</v>
      </c>
      <c r="I798" s="1" t="s">
        <v>19</v>
      </c>
      <c r="J798">
        <v>4</v>
      </c>
      <c r="K798" t="s">
        <v>49</v>
      </c>
      <c r="L798" t="s">
        <v>59</v>
      </c>
      <c r="M798" t="s">
        <v>51</v>
      </c>
    </row>
    <row r="799" spans="1:13" x14ac:dyDescent="0.35">
      <c r="A799">
        <v>811</v>
      </c>
      <c r="B799">
        <v>48</v>
      </c>
      <c r="C799" s="1" t="s">
        <v>10</v>
      </c>
      <c r="D799" s="1" t="s">
        <v>11</v>
      </c>
      <c r="E799" s="1" t="s">
        <v>12</v>
      </c>
      <c r="F799">
        <v>15000</v>
      </c>
      <c r="G799">
        <v>59</v>
      </c>
      <c r="H799" s="1" t="s">
        <v>18</v>
      </c>
      <c r="I799" s="1" t="s">
        <v>14</v>
      </c>
      <c r="J799">
        <v>4</v>
      </c>
      <c r="K799" t="s">
        <v>49</v>
      </c>
      <c r="L799" t="s">
        <v>59</v>
      </c>
      <c r="M799" t="s">
        <v>51</v>
      </c>
    </row>
    <row r="800" spans="1:13" x14ac:dyDescent="0.35">
      <c r="A800">
        <v>812</v>
      </c>
      <c r="B800">
        <v>65</v>
      </c>
      <c r="C800" s="1" t="s">
        <v>15</v>
      </c>
      <c r="D800" s="1" t="s">
        <v>16</v>
      </c>
      <c r="E800" s="1" t="s">
        <v>17</v>
      </c>
      <c r="F800">
        <v>2000</v>
      </c>
      <c r="G800">
        <v>57</v>
      </c>
      <c r="H800" s="1" t="s">
        <v>13</v>
      </c>
      <c r="I800" s="1" t="s">
        <v>19</v>
      </c>
      <c r="J800">
        <v>3</v>
      </c>
      <c r="K800" t="s">
        <v>55</v>
      </c>
      <c r="L800" t="s">
        <v>59</v>
      </c>
      <c r="M800" t="s">
        <v>52</v>
      </c>
    </row>
    <row r="801" spans="1:13" x14ac:dyDescent="0.35">
      <c r="A801">
        <v>813</v>
      </c>
      <c r="B801">
        <v>30</v>
      </c>
      <c r="C801" s="1" t="s">
        <v>10</v>
      </c>
      <c r="D801" s="1" t="s">
        <v>20</v>
      </c>
      <c r="E801" s="1" t="s">
        <v>21</v>
      </c>
      <c r="F801">
        <v>500</v>
      </c>
      <c r="G801">
        <v>55</v>
      </c>
      <c r="H801" s="1" t="s">
        <v>13</v>
      </c>
      <c r="I801" s="1" t="s">
        <v>14</v>
      </c>
      <c r="J801">
        <v>5</v>
      </c>
      <c r="K801" t="s">
        <v>53</v>
      </c>
      <c r="L801" t="s">
        <v>59</v>
      </c>
      <c r="M801" t="s">
        <v>51</v>
      </c>
    </row>
    <row r="802" spans="1:13" x14ac:dyDescent="0.35">
      <c r="A802">
        <v>814</v>
      </c>
      <c r="B802">
        <v>70</v>
      </c>
      <c r="C802" s="1" t="s">
        <v>15</v>
      </c>
      <c r="D802" s="1" t="s">
        <v>22</v>
      </c>
      <c r="E802" s="1" t="s">
        <v>23</v>
      </c>
      <c r="F802">
        <v>10000</v>
      </c>
      <c r="G802">
        <v>62</v>
      </c>
      <c r="H802" s="1" t="s">
        <v>18</v>
      </c>
      <c r="I802" s="1" t="s">
        <v>19</v>
      </c>
      <c r="J802">
        <v>2</v>
      </c>
      <c r="K802" t="s">
        <v>55</v>
      </c>
      <c r="L802" t="s">
        <v>59</v>
      </c>
      <c r="M802" t="s">
        <v>57</v>
      </c>
    </row>
    <row r="803" spans="1:13" x14ac:dyDescent="0.35">
      <c r="A803">
        <v>815</v>
      </c>
      <c r="B803">
        <v>55</v>
      </c>
      <c r="C803" s="1" t="s">
        <v>10</v>
      </c>
      <c r="D803" s="1" t="s">
        <v>24</v>
      </c>
      <c r="E803" s="1" t="s">
        <v>25</v>
      </c>
      <c r="F803">
        <v>25000</v>
      </c>
      <c r="G803">
        <v>64</v>
      </c>
      <c r="H803" s="1" t="s">
        <v>13</v>
      </c>
      <c r="I803" s="1" t="s">
        <v>14</v>
      </c>
      <c r="J803">
        <v>4</v>
      </c>
      <c r="K803" t="s">
        <v>49</v>
      </c>
      <c r="L803" t="s">
        <v>59</v>
      </c>
      <c r="M803" t="s">
        <v>51</v>
      </c>
    </row>
    <row r="804" spans="1:13" x14ac:dyDescent="0.35">
      <c r="A804">
        <v>816</v>
      </c>
      <c r="B804">
        <v>68</v>
      </c>
      <c r="C804" s="1" t="s">
        <v>15</v>
      </c>
      <c r="D804" s="1" t="s">
        <v>26</v>
      </c>
      <c r="E804" s="1" t="s">
        <v>27</v>
      </c>
      <c r="F804">
        <v>1000</v>
      </c>
      <c r="G804">
        <v>58</v>
      </c>
      <c r="H804" s="1" t="s">
        <v>13</v>
      </c>
      <c r="I804" s="1" t="s">
        <v>19</v>
      </c>
      <c r="J804">
        <v>4</v>
      </c>
      <c r="K804" t="s">
        <v>55</v>
      </c>
      <c r="L804" t="s">
        <v>59</v>
      </c>
      <c r="M804" t="s">
        <v>51</v>
      </c>
    </row>
    <row r="805" spans="1:13" x14ac:dyDescent="0.35">
      <c r="A805">
        <v>817</v>
      </c>
      <c r="B805">
        <v>45</v>
      </c>
      <c r="C805" s="1" t="s">
        <v>10</v>
      </c>
      <c r="D805" s="1" t="s">
        <v>28</v>
      </c>
      <c r="E805" s="1" t="s">
        <v>29</v>
      </c>
      <c r="F805">
        <v>8000</v>
      </c>
      <c r="G805">
        <v>60</v>
      </c>
      <c r="H805" s="1" t="s">
        <v>13</v>
      </c>
      <c r="I805" s="1" t="s">
        <v>14</v>
      </c>
      <c r="J805">
        <v>3</v>
      </c>
      <c r="K805" t="s">
        <v>49</v>
      </c>
      <c r="L805" t="s">
        <v>59</v>
      </c>
      <c r="M805" t="s">
        <v>52</v>
      </c>
    </row>
    <row r="806" spans="1:13" x14ac:dyDescent="0.35">
      <c r="A806">
        <v>818</v>
      </c>
      <c r="B806">
        <v>40</v>
      </c>
      <c r="C806" s="1" t="s">
        <v>15</v>
      </c>
      <c r="D806" s="1" t="s">
        <v>30</v>
      </c>
      <c r="E806" s="1" t="s">
        <v>31</v>
      </c>
      <c r="F806">
        <v>3000</v>
      </c>
      <c r="G806">
        <v>60</v>
      </c>
      <c r="H806" s="1" t="s">
        <v>13</v>
      </c>
      <c r="I806" s="1" t="s">
        <v>14</v>
      </c>
      <c r="J806">
        <v>4</v>
      </c>
      <c r="K806" t="s">
        <v>49</v>
      </c>
      <c r="L806" t="s">
        <v>59</v>
      </c>
      <c r="M806" t="s">
        <v>51</v>
      </c>
    </row>
    <row r="807" spans="1:13" x14ac:dyDescent="0.35">
      <c r="A807">
        <v>819</v>
      </c>
      <c r="B807">
        <v>78</v>
      </c>
      <c r="C807" s="1" t="s">
        <v>10</v>
      </c>
      <c r="D807" s="1" t="s">
        <v>32</v>
      </c>
      <c r="E807" s="1" t="s">
        <v>33</v>
      </c>
      <c r="F807">
        <v>18000</v>
      </c>
      <c r="G807">
        <v>62</v>
      </c>
      <c r="H807" s="1" t="s">
        <v>18</v>
      </c>
      <c r="I807" s="1" t="s">
        <v>19</v>
      </c>
      <c r="J807">
        <v>2</v>
      </c>
      <c r="K807" t="s">
        <v>55</v>
      </c>
      <c r="L807" t="s">
        <v>59</v>
      </c>
      <c r="M807" t="s">
        <v>57</v>
      </c>
    </row>
    <row r="808" spans="1:13" x14ac:dyDescent="0.35">
      <c r="A808">
        <v>820</v>
      </c>
      <c r="B808">
        <v>25</v>
      </c>
      <c r="C808" s="1" t="s">
        <v>15</v>
      </c>
      <c r="D808" s="1" t="s">
        <v>34</v>
      </c>
      <c r="E808" s="1" t="s">
        <v>35</v>
      </c>
      <c r="F808">
        <v>100</v>
      </c>
      <c r="G808">
        <v>55</v>
      </c>
      <c r="H808" s="1" t="s">
        <v>13</v>
      </c>
      <c r="I808" s="1" t="s">
        <v>14</v>
      </c>
      <c r="J808">
        <v>5</v>
      </c>
      <c r="K808" t="s">
        <v>53</v>
      </c>
      <c r="L808" t="s">
        <v>59</v>
      </c>
      <c r="M808" t="s">
        <v>51</v>
      </c>
    </row>
    <row r="809" spans="1:13" x14ac:dyDescent="0.35">
      <c r="A809">
        <v>821</v>
      </c>
      <c r="B809">
        <v>52</v>
      </c>
      <c r="C809" s="1" t="s">
        <v>10</v>
      </c>
      <c r="D809" s="1" t="s">
        <v>36</v>
      </c>
      <c r="E809" s="1" t="s">
        <v>37</v>
      </c>
      <c r="F809">
        <v>800</v>
      </c>
      <c r="G809">
        <v>56</v>
      </c>
      <c r="H809" s="1" t="s">
        <v>13</v>
      </c>
      <c r="I809" s="1" t="s">
        <v>19</v>
      </c>
      <c r="J809">
        <v>4</v>
      </c>
      <c r="K809" t="s">
        <v>49</v>
      </c>
      <c r="L809" t="s">
        <v>59</v>
      </c>
      <c r="M809" t="s">
        <v>51</v>
      </c>
    </row>
    <row r="810" spans="1:13" x14ac:dyDescent="0.35">
      <c r="A810">
        <v>822</v>
      </c>
      <c r="B810">
        <v>58</v>
      </c>
      <c r="C810" s="1" t="s">
        <v>15</v>
      </c>
      <c r="D810" s="1" t="s">
        <v>38</v>
      </c>
      <c r="E810" s="1" t="s">
        <v>39</v>
      </c>
      <c r="F810">
        <v>20000</v>
      </c>
      <c r="G810">
        <v>63</v>
      </c>
      <c r="H810" s="1" t="s">
        <v>13</v>
      </c>
      <c r="I810" s="1" t="s">
        <v>14</v>
      </c>
      <c r="J810">
        <v>3</v>
      </c>
      <c r="K810" t="s">
        <v>49</v>
      </c>
      <c r="L810" t="s">
        <v>59</v>
      </c>
      <c r="M810" t="s">
        <v>52</v>
      </c>
    </row>
    <row r="811" spans="1:13" x14ac:dyDescent="0.35">
      <c r="A811">
        <v>823</v>
      </c>
      <c r="B811">
        <v>32</v>
      </c>
      <c r="C811" s="1" t="s">
        <v>10</v>
      </c>
      <c r="D811" s="1" t="s">
        <v>40</v>
      </c>
      <c r="E811" s="1" t="s">
        <v>41</v>
      </c>
      <c r="F811">
        <v>12000</v>
      </c>
      <c r="G811">
        <v>57</v>
      </c>
      <c r="H811" s="1" t="s">
        <v>13</v>
      </c>
      <c r="I811" s="1" t="s">
        <v>14</v>
      </c>
      <c r="J811">
        <v>4</v>
      </c>
      <c r="K811" t="s">
        <v>53</v>
      </c>
      <c r="L811" t="s">
        <v>59</v>
      </c>
      <c r="M811" t="s">
        <v>51</v>
      </c>
    </row>
    <row r="812" spans="1:13" x14ac:dyDescent="0.35">
      <c r="A812">
        <v>824</v>
      </c>
      <c r="B812">
        <v>55</v>
      </c>
      <c r="C812" s="1" t="s">
        <v>15</v>
      </c>
      <c r="D812" s="1" t="s">
        <v>42</v>
      </c>
      <c r="E812" s="1" t="s">
        <v>43</v>
      </c>
      <c r="F812">
        <v>6000</v>
      </c>
      <c r="G812">
        <v>58</v>
      </c>
      <c r="H812" s="1" t="s">
        <v>13</v>
      </c>
      <c r="I812" s="1" t="s">
        <v>14</v>
      </c>
      <c r="J812">
        <v>3</v>
      </c>
      <c r="K812" t="s">
        <v>49</v>
      </c>
      <c r="L812" t="s">
        <v>59</v>
      </c>
      <c r="M812" t="s">
        <v>52</v>
      </c>
    </row>
    <row r="813" spans="1:13" x14ac:dyDescent="0.35">
      <c r="A813">
        <v>825</v>
      </c>
      <c r="B813">
        <v>65</v>
      </c>
      <c r="C813" s="1" t="s">
        <v>10</v>
      </c>
      <c r="D813" s="1" t="s">
        <v>44</v>
      </c>
      <c r="E813" s="1" t="s">
        <v>45</v>
      </c>
      <c r="F813">
        <v>4000</v>
      </c>
      <c r="G813">
        <v>59</v>
      </c>
      <c r="H813" s="1" t="s">
        <v>13</v>
      </c>
      <c r="I813" s="1" t="s">
        <v>19</v>
      </c>
      <c r="J813">
        <v>4</v>
      </c>
      <c r="K813" t="s">
        <v>55</v>
      </c>
      <c r="L813" t="s">
        <v>59</v>
      </c>
      <c r="M813" t="s">
        <v>51</v>
      </c>
    </row>
    <row r="814" spans="1:13" x14ac:dyDescent="0.35">
      <c r="A814">
        <v>826</v>
      </c>
      <c r="B814">
        <v>55</v>
      </c>
      <c r="C814" s="1" t="s">
        <v>10</v>
      </c>
      <c r="D814" s="1" t="s">
        <v>11</v>
      </c>
      <c r="E814" s="1" t="s">
        <v>12</v>
      </c>
      <c r="F814">
        <v>15000</v>
      </c>
      <c r="G814">
        <v>60</v>
      </c>
      <c r="H814" s="1" t="s">
        <v>18</v>
      </c>
      <c r="I814" s="1" t="s">
        <v>14</v>
      </c>
      <c r="J814">
        <v>3</v>
      </c>
      <c r="K814" t="s">
        <v>49</v>
      </c>
      <c r="L814" t="s">
        <v>59</v>
      </c>
      <c r="M814" t="s">
        <v>52</v>
      </c>
    </row>
    <row r="815" spans="1:13" x14ac:dyDescent="0.35">
      <c r="A815">
        <v>827</v>
      </c>
      <c r="B815">
        <v>62</v>
      </c>
      <c r="C815" s="1" t="s">
        <v>15</v>
      </c>
      <c r="D815" s="1" t="s">
        <v>16</v>
      </c>
      <c r="E815" s="1" t="s">
        <v>17</v>
      </c>
      <c r="F815">
        <v>2000</v>
      </c>
      <c r="G815">
        <v>58</v>
      </c>
      <c r="H815" s="1" t="s">
        <v>13</v>
      </c>
      <c r="I815" s="1" t="s">
        <v>19</v>
      </c>
      <c r="J815">
        <v>4</v>
      </c>
      <c r="K815" t="s">
        <v>55</v>
      </c>
      <c r="L815" t="s">
        <v>59</v>
      </c>
      <c r="M815" t="s">
        <v>51</v>
      </c>
    </row>
    <row r="816" spans="1:13" x14ac:dyDescent="0.35">
      <c r="A816">
        <v>828</v>
      </c>
      <c r="B816">
        <v>35</v>
      </c>
      <c r="C816" s="1" t="s">
        <v>10</v>
      </c>
      <c r="D816" s="1" t="s">
        <v>20</v>
      </c>
      <c r="E816" s="1" t="s">
        <v>21</v>
      </c>
      <c r="F816">
        <v>500</v>
      </c>
      <c r="G816">
        <v>56</v>
      </c>
      <c r="H816" s="1" t="s">
        <v>18</v>
      </c>
      <c r="I816" s="1" t="s">
        <v>14</v>
      </c>
      <c r="J816">
        <v>5</v>
      </c>
      <c r="K816" t="s">
        <v>53</v>
      </c>
      <c r="L816" t="s">
        <v>59</v>
      </c>
      <c r="M816" t="s">
        <v>51</v>
      </c>
    </row>
    <row r="817" spans="1:13" x14ac:dyDescent="0.35">
      <c r="A817">
        <v>829</v>
      </c>
      <c r="B817">
        <v>78</v>
      </c>
      <c r="C817" s="1" t="s">
        <v>15</v>
      </c>
      <c r="D817" s="1" t="s">
        <v>22</v>
      </c>
      <c r="E817" s="1" t="s">
        <v>23</v>
      </c>
      <c r="F817">
        <v>10000</v>
      </c>
      <c r="G817">
        <v>63</v>
      </c>
      <c r="H817" s="1" t="s">
        <v>13</v>
      </c>
      <c r="I817" s="1" t="s">
        <v>19</v>
      </c>
      <c r="J817">
        <v>2</v>
      </c>
      <c r="K817" t="s">
        <v>55</v>
      </c>
      <c r="L817" t="s">
        <v>59</v>
      </c>
      <c r="M817" t="s">
        <v>57</v>
      </c>
    </row>
    <row r="818" spans="1:13" x14ac:dyDescent="0.35">
      <c r="A818">
        <v>830</v>
      </c>
      <c r="B818">
        <v>53</v>
      </c>
      <c r="C818" s="1" t="s">
        <v>10</v>
      </c>
      <c r="D818" s="1" t="s">
        <v>24</v>
      </c>
      <c r="E818" s="1" t="s">
        <v>25</v>
      </c>
      <c r="F818">
        <v>25000</v>
      </c>
      <c r="G818">
        <v>65</v>
      </c>
      <c r="H818" s="1" t="s">
        <v>18</v>
      </c>
      <c r="I818" s="1" t="s">
        <v>14</v>
      </c>
      <c r="J818">
        <v>4</v>
      </c>
      <c r="K818" t="s">
        <v>49</v>
      </c>
      <c r="L818" t="s">
        <v>59</v>
      </c>
      <c r="M818" t="s">
        <v>51</v>
      </c>
    </row>
    <row r="819" spans="1:13" x14ac:dyDescent="0.35">
      <c r="A819">
        <v>831</v>
      </c>
      <c r="B819">
        <v>72</v>
      </c>
      <c r="C819" s="1" t="s">
        <v>15</v>
      </c>
      <c r="D819" s="1" t="s">
        <v>26</v>
      </c>
      <c r="E819" s="1" t="s">
        <v>27</v>
      </c>
      <c r="F819">
        <v>1000</v>
      </c>
      <c r="G819">
        <v>59</v>
      </c>
      <c r="H819" s="1" t="s">
        <v>13</v>
      </c>
      <c r="I819" s="1" t="s">
        <v>19</v>
      </c>
      <c r="J819">
        <v>4</v>
      </c>
      <c r="K819" t="s">
        <v>55</v>
      </c>
      <c r="L819" t="s">
        <v>59</v>
      </c>
      <c r="M819" t="s">
        <v>51</v>
      </c>
    </row>
    <row r="820" spans="1:13" x14ac:dyDescent="0.35">
      <c r="A820">
        <v>832</v>
      </c>
      <c r="B820">
        <v>60</v>
      </c>
      <c r="C820" s="1" t="s">
        <v>10</v>
      </c>
      <c r="D820" s="1" t="s">
        <v>28</v>
      </c>
      <c r="E820" s="1" t="s">
        <v>29</v>
      </c>
      <c r="F820">
        <v>8000</v>
      </c>
      <c r="G820">
        <v>61</v>
      </c>
      <c r="H820" s="1" t="s">
        <v>18</v>
      </c>
      <c r="I820" s="1" t="s">
        <v>14</v>
      </c>
      <c r="J820">
        <v>3</v>
      </c>
      <c r="K820" t="s">
        <v>49</v>
      </c>
      <c r="L820" t="s">
        <v>59</v>
      </c>
      <c r="M820" t="s">
        <v>52</v>
      </c>
    </row>
    <row r="821" spans="1:13" x14ac:dyDescent="0.35">
      <c r="A821">
        <v>833</v>
      </c>
      <c r="B821">
        <v>45</v>
      </c>
      <c r="C821" s="1" t="s">
        <v>15</v>
      </c>
      <c r="D821" s="1" t="s">
        <v>30</v>
      </c>
      <c r="E821" s="1" t="s">
        <v>31</v>
      </c>
      <c r="F821">
        <v>3000</v>
      </c>
      <c r="G821">
        <v>61</v>
      </c>
      <c r="H821" s="1" t="s">
        <v>13</v>
      </c>
      <c r="I821" s="1" t="s">
        <v>14</v>
      </c>
      <c r="J821">
        <v>4</v>
      </c>
      <c r="K821" t="s">
        <v>49</v>
      </c>
      <c r="L821" t="s">
        <v>59</v>
      </c>
      <c r="M821" t="s">
        <v>51</v>
      </c>
    </row>
    <row r="822" spans="1:13" x14ac:dyDescent="0.35">
      <c r="A822">
        <v>834</v>
      </c>
      <c r="B822">
        <v>75</v>
      </c>
      <c r="C822" s="1" t="s">
        <v>10</v>
      </c>
      <c r="D822" s="1" t="s">
        <v>32</v>
      </c>
      <c r="E822" s="1" t="s">
        <v>33</v>
      </c>
      <c r="F822">
        <v>18000</v>
      </c>
      <c r="G822">
        <v>63</v>
      </c>
      <c r="H822" s="1" t="s">
        <v>18</v>
      </c>
      <c r="I822" s="1" t="s">
        <v>19</v>
      </c>
      <c r="J822">
        <v>2</v>
      </c>
      <c r="K822" t="s">
        <v>55</v>
      </c>
      <c r="L822" t="s">
        <v>59</v>
      </c>
      <c r="M822" t="s">
        <v>57</v>
      </c>
    </row>
    <row r="823" spans="1:13" x14ac:dyDescent="0.35">
      <c r="A823">
        <v>835</v>
      </c>
      <c r="B823">
        <v>28</v>
      </c>
      <c r="C823" s="1" t="s">
        <v>15</v>
      </c>
      <c r="D823" s="1" t="s">
        <v>34</v>
      </c>
      <c r="E823" s="1" t="s">
        <v>35</v>
      </c>
      <c r="F823">
        <v>100</v>
      </c>
      <c r="G823">
        <v>56</v>
      </c>
      <c r="H823" s="1" t="s">
        <v>13</v>
      </c>
      <c r="I823" s="1" t="s">
        <v>14</v>
      </c>
      <c r="J823">
        <v>5</v>
      </c>
      <c r="K823" t="s">
        <v>53</v>
      </c>
      <c r="L823" t="s">
        <v>59</v>
      </c>
      <c r="M823" t="s">
        <v>51</v>
      </c>
    </row>
    <row r="824" spans="1:13" x14ac:dyDescent="0.35">
      <c r="A824">
        <v>836</v>
      </c>
      <c r="B824">
        <v>52</v>
      </c>
      <c r="C824" s="1" t="s">
        <v>10</v>
      </c>
      <c r="D824" s="1" t="s">
        <v>36</v>
      </c>
      <c r="E824" s="1" t="s">
        <v>37</v>
      </c>
      <c r="F824">
        <v>800</v>
      </c>
      <c r="G824">
        <v>57</v>
      </c>
      <c r="H824" s="1" t="s">
        <v>13</v>
      </c>
      <c r="I824" s="1" t="s">
        <v>19</v>
      </c>
      <c r="J824">
        <v>4</v>
      </c>
      <c r="K824" t="s">
        <v>49</v>
      </c>
      <c r="L824" t="s">
        <v>59</v>
      </c>
      <c r="M824" t="s">
        <v>51</v>
      </c>
    </row>
    <row r="825" spans="1:13" x14ac:dyDescent="0.35">
      <c r="A825">
        <v>837</v>
      </c>
      <c r="B825">
        <v>67</v>
      </c>
      <c r="C825" s="1" t="s">
        <v>15</v>
      </c>
      <c r="D825" s="1" t="s">
        <v>38</v>
      </c>
      <c r="E825" s="1" t="s">
        <v>39</v>
      </c>
      <c r="F825">
        <v>20000</v>
      </c>
      <c r="G825">
        <v>64</v>
      </c>
      <c r="H825" s="1" t="s">
        <v>13</v>
      </c>
      <c r="I825" s="1" t="s">
        <v>14</v>
      </c>
      <c r="J825">
        <v>3</v>
      </c>
      <c r="K825" t="s">
        <v>55</v>
      </c>
      <c r="L825" t="s">
        <v>59</v>
      </c>
      <c r="M825" t="s">
        <v>52</v>
      </c>
    </row>
    <row r="826" spans="1:13" x14ac:dyDescent="0.35">
      <c r="A826">
        <v>838</v>
      </c>
      <c r="B826">
        <v>35</v>
      </c>
      <c r="C826" s="1" t="s">
        <v>10</v>
      </c>
      <c r="D826" s="1" t="s">
        <v>40</v>
      </c>
      <c r="E826" s="1" t="s">
        <v>41</v>
      </c>
      <c r="F826">
        <v>12000</v>
      </c>
      <c r="G826">
        <v>58</v>
      </c>
      <c r="H826" s="1" t="s">
        <v>13</v>
      </c>
      <c r="I826" s="1" t="s">
        <v>14</v>
      </c>
      <c r="J826">
        <v>4</v>
      </c>
      <c r="K826" t="s">
        <v>53</v>
      </c>
      <c r="L826" t="s">
        <v>59</v>
      </c>
      <c r="M826" t="s">
        <v>51</v>
      </c>
    </row>
    <row r="827" spans="1:13" x14ac:dyDescent="0.35">
      <c r="A827">
        <v>839</v>
      </c>
      <c r="B827">
        <v>50</v>
      </c>
      <c r="C827" s="1" t="s">
        <v>15</v>
      </c>
      <c r="D827" s="1" t="s">
        <v>42</v>
      </c>
      <c r="E827" s="1" t="s">
        <v>43</v>
      </c>
      <c r="F827">
        <v>6000</v>
      </c>
      <c r="G827">
        <v>59</v>
      </c>
      <c r="H827" s="1" t="s">
        <v>13</v>
      </c>
      <c r="I827" s="1" t="s">
        <v>14</v>
      </c>
      <c r="J827">
        <v>3</v>
      </c>
      <c r="K827" t="s">
        <v>49</v>
      </c>
      <c r="L827" t="s">
        <v>59</v>
      </c>
      <c r="M827" t="s">
        <v>52</v>
      </c>
    </row>
    <row r="828" spans="1:13" x14ac:dyDescent="0.35">
      <c r="A828">
        <v>840</v>
      </c>
      <c r="B828">
        <v>60</v>
      </c>
      <c r="C828" s="1" t="s">
        <v>10</v>
      </c>
      <c r="D828" s="1" t="s">
        <v>44</v>
      </c>
      <c r="E828" s="1" t="s">
        <v>45</v>
      </c>
      <c r="F828">
        <v>4000</v>
      </c>
      <c r="G828">
        <v>60</v>
      </c>
      <c r="H828" s="1" t="s">
        <v>13</v>
      </c>
      <c r="I828" s="1" t="s">
        <v>19</v>
      </c>
      <c r="J828">
        <v>4</v>
      </c>
      <c r="K828" t="s">
        <v>49</v>
      </c>
      <c r="L828" t="s">
        <v>59</v>
      </c>
      <c r="M828" t="s">
        <v>51</v>
      </c>
    </row>
    <row r="829" spans="1:13" x14ac:dyDescent="0.35">
      <c r="A829">
        <v>841</v>
      </c>
      <c r="B829">
        <v>48</v>
      </c>
      <c r="C829" s="1" t="s">
        <v>10</v>
      </c>
      <c r="D829" s="1" t="s">
        <v>11</v>
      </c>
      <c r="E829" s="1" t="s">
        <v>12</v>
      </c>
      <c r="F829">
        <v>15000</v>
      </c>
      <c r="G829">
        <v>61</v>
      </c>
      <c r="H829" s="1" t="s">
        <v>18</v>
      </c>
      <c r="I829" s="1" t="s">
        <v>14</v>
      </c>
      <c r="J829">
        <v>4</v>
      </c>
      <c r="K829" t="s">
        <v>49</v>
      </c>
      <c r="L829" t="s">
        <v>59</v>
      </c>
      <c r="M829" t="s">
        <v>51</v>
      </c>
    </row>
    <row r="830" spans="1:13" x14ac:dyDescent="0.35">
      <c r="A830">
        <v>842</v>
      </c>
      <c r="B830">
        <v>65</v>
      </c>
      <c r="C830" s="1" t="s">
        <v>15</v>
      </c>
      <c r="D830" s="1" t="s">
        <v>16</v>
      </c>
      <c r="E830" s="1" t="s">
        <v>17</v>
      </c>
      <c r="F830">
        <v>2000</v>
      </c>
      <c r="G830">
        <v>59</v>
      </c>
      <c r="H830" s="1" t="s">
        <v>13</v>
      </c>
      <c r="I830" s="1" t="s">
        <v>19</v>
      </c>
      <c r="J830">
        <v>3</v>
      </c>
      <c r="K830" t="s">
        <v>55</v>
      </c>
      <c r="L830" t="s">
        <v>59</v>
      </c>
      <c r="M830" t="s">
        <v>52</v>
      </c>
    </row>
    <row r="831" spans="1:13" x14ac:dyDescent="0.35">
      <c r="A831">
        <v>843</v>
      </c>
      <c r="B831">
        <v>30</v>
      </c>
      <c r="C831" s="1" t="s">
        <v>10</v>
      </c>
      <c r="D831" s="1" t="s">
        <v>20</v>
      </c>
      <c r="E831" s="1" t="s">
        <v>21</v>
      </c>
      <c r="F831">
        <v>500</v>
      </c>
      <c r="G831">
        <v>57</v>
      </c>
      <c r="H831" s="1" t="s">
        <v>13</v>
      </c>
      <c r="I831" s="1" t="s">
        <v>14</v>
      </c>
      <c r="J831">
        <v>5</v>
      </c>
      <c r="K831" t="s">
        <v>53</v>
      </c>
      <c r="L831" t="s">
        <v>59</v>
      </c>
      <c r="M831" t="s">
        <v>51</v>
      </c>
    </row>
    <row r="832" spans="1:13" x14ac:dyDescent="0.35">
      <c r="A832">
        <v>844</v>
      </c>
      <c r="B832">
        <v>70</v>
      </c>
      <c r="C832" s="1" t="s">
        <v>15</v>
      </c>
      <c r="D832" s="1" t="s">
        <v>22</v>
      </c>
      <c r="E832" s="1" t="s">
        <v>23</v>
      </c>
      <c r="F832">
        <v>10000</v>
      </c>
      <c r="G832">
        <v>64</v>
      </c>
      <c r="H832" s="1" t="s">
        <v>18</v>
      </c>
      <c r="I832" s="1" t="s">
        <v>19</v>
      </c>
      <c r="J832">
        <v>2</v>
      </c>
      <c r="K832" t="s">
        <v>55</v>
      </c>
      <c r="L832" t="s">
        <v>59</v>
      </c>
      <c r="M832" t="s">
        <v>57</v>
      </c>
    </row>
    <row r="833" spans="1:13" x14ac:dyDescent="0.35">
      <c r="A833">
        <v>846</v>
      </c>
      <c r="B833">
        <v>68</v>
      </c>
      <c r="C833" s="1" t="s">
        <v>15</v>
      </c>
      <c r="D833" s="1" t="s">
        <v>26</v>
      </c>
      <c r="E833" s="1" t="s">
        <v>27</v>
      </c>
      <c r="F833">
        <v>1000</v>
      </c>
      <c r="G833">
        <v>60</v>
      </c>
      <c r="H833" s="1" t="s">
        <v>13</v>
      </c>
      <c r="I833" s="1" t="s">
        <v>19</v>
      </c>
      <c r="J833">
        <v>4</v>
      </c>
      <c r="K833" t="s">
        <v>55</v>
      </c>
      <c r="L833" t="s">
        <v>59</v>
      </c>
      <c r="M833" t="s">
        <v>51</v>
      </c>
    </row>
    <row r="834" spans="1:13" x14ac:dyDescent="0.35">
      <c r="A834">
        <v>847</v>
      </c>
      <c r="B834">
        <v>45</v>
      </c>
      <c r="C834" s="1" t="s">
        <v>10</v>
      </c>
      <c r="D834" s="1" t="s">
        <v>28</v>
      </c>
      <c r="E834" s="1" t="s">
        <v>29</v>
      </c>
      <c r="F834">
        <v>8000</v>
      </c>
      <c r="G834">
        <v>62</v>
      </c>
      <c r="H834" s="1" t="s">
        <v>13</v>
      </c>
      <c r="I834" s="1" t="s">
        <v>14</v>
      </c>
      <c r="J834">
        <v>3</v>
      </c>
      <c r="K834" t="s">
        <v>49</v>
      </c>
      <c r="L834" t="s">
        <v>59</v>
      </c>
      <c r="M834" t="s">
        <v>52</v>
      </c>
    </row>
    <row r="835" spans="1:13" x14ac:dyDescent="0.35">
      <c r="A835">
        <v>848</v>
      </c>
      <c r="B835">
        <v>40</v>
      </c>
      <c r="C835" s="1" t="s">
        <v>15</v>
      </c>
      <c r="D835" s="1" t="s">
        <v>30</v>
      </c>
      <c r="E835" s="1" t="s">
        <v>31</v>
      </c>
      <c r="F835">
        <v>3000</v>
      </c>
      <c r="G835">
        <v>62</v>
      </c>
      <c r="H835" s="1" t="s">
        <v>13</v>
      </c>
      <c r="I835" s="1" t="s">
        <v>14</v>
      </c>
      <c r="J835">
        <v>4</v>
      </c>
      <c r="K835" t="s">
        <v>49</v>
      </c>
      <c r="L835" t="s">
        <v>59</v>
      </c>
      <c r="M835" t="s">
        <v>51</v>
      </c>
    </row>
    <row r="836" spans="1:13" x14ac:dyDescent="0.35">
      <c r="A836">
        <v>849</v>
      </c>
      <c r="B836">
        <v>78</v>
      </c>
      <c r="C836" s="1" t="s">
        <v>10</v>
      </c>
      <c r="D836" s="1" t="s">
        <v>32</v>
      </c>
      <c r="E836" s="1" t="s">
        <v>33</v>
      </c>
      <c r="F836">
        <v>18000</v>
      </c>
      <c r="G836">
        <v>64</v>
      </c>
      <c r="H836" s="1" t="s">
        <v>18</v>
      </c>
      <c r="I836" s="1" t="s">
        <v>19</v>
      </c>
      <c r="J836">
        <v>2</v>
      </c>
      <c r="K836" t="s">
        <v>55</v>
      </c>
      <c r="L836" t="s">
        <v>59</v>
      </c>
      <c r="M836" t="s">
        <v>57</v>
      </c>
    </row>
    <row r="837" spans="1:13" x14ac:dyDescent="0.35">
      <c r="A837">
        <v>850</v>
      </c>
      <c r="B837">
        <v>25</v>
      </c>
      <c r="C837" s="1" t="s">
        <v>15</v>
      </c>
      <c r="D837" s="1" t="s">
        <v>34</v>
      </c>
      <c r="E837" s="1" t="s">
        <v>35</v>
      </c>
      <c r="F837">
        <v>100</v>
      </c>
      <c r="G837">
        <v>57</v>
      </c>
      <c r="H837" s="1" t="s">
        <v>13</v>
      </c>
      <c r="I837" s="1" t="s">
        <v>14</v>
      </c>
      <c r="J837">
        <v>5</v>
      </c>
      <c r="K837" t="s">
        <v>53</v>
      </c>
      <c r="L837" t="s">
        <v>59</v>
      </c>
      <c r="M837" t="s">
        <v>51</v>
      </c>
    </row>
    <row r="838" spans="1:13" x14ac:dyDescent="0.35">
      <c r="A838">
        <v>851</v>
      </c>
      <c r="B838">
        <v>52</v>
      </c>
      <c r="C838" s="1" t="s">
        <v>10</v>
      </c>
      <c r="D838" s="1" t="s">
        <v>36</v>
      </c>
      <c r="E838" s="1" t="s">
        <v>37</v>
      </c>
      <c r="F838">
        <v>800</v>
      </c>
      <c r="G838">
        <v>58</v>
      </c>
      <c r="H838" s="1" t="s">
        <v>13</v>
      </c>
      <c r="I838" s="1" t="s">
        <v>19</v>
      </c>
      <c r="J838">
        <v>4</v>
      </c>
      <c r="K838" t="s">
        <v>49</v>
      </c>
      <c r="L838" t="s">
        <v>59</v>
      </c>
      <c r="M838" t="s">
        <v>51</v>
      </c>
    </row>
    <row r="839" spans="1:13" x14ac:dyDescent="0.35">
      <c r="A839">
        <v>852</v>
      </c>
      <c r="B839">
        <v>58</v>
      </c>
      <c r="C839" s="1" t="s">
        <v>15</v>
      </c>
      <c r="D839" s="1" t="s">
        <v>38</v>
      </c>
      <c r="E839" s="1" t="s">
        <v>39</v>
      </c>
      <c r="F839">
        <v>20000</v>
      </c>
      <c r="G839">
        <v>65</v>
      </c>
      <c r="H839" s="1" t="s">
        <v>13</v>
      </c>
      <c r="I839" s="1" t="s">
        <v>14</v>
      </c>
      <c r="J839">
        <v>3</v>
      </c>
      <c r="K839" t="s">
        <v>49</v>
      </c>
      <c r="L839" t="s">
        <v>59</v>
      </c>
      <c r="M839" t="s">
        <v>52</v>
      </c>
    </row>
    <row r="840" spans="1:13" x14ac:dyDescent="0.35">
      <c r="A840">
        <v>853</v>
      </c>
      <c r="B840">
        <v>32</v>
      </c>
      <c r="C840" s="1" t="s">
        <v>10</v>
      </c>
      <c r="D840" s="1" t="s">
        <v>40</v>
      </c>
      <c r="E840" s="1" t="s">
        <v>41</v>
      </c>
      <c r="F840">
        <v>12000</v>
      </c>
      <c r="G840">
        <v>59</v>
      </c>
      <c r="H840" s="1" t="s">
        <v>13</v>
      </c>
      <c r="I840" s="1" t="s">
        <v>14</v>
      </c>
      <c r="J840">
        <v>4</v>
      </c>
      <c r="K840" t="s">
        <v>53</v>
      </c>
      <c r="L840" t="s">
        <v>59</v>
      </c>
      <c r="M840" t="s">
        <v>51</v>
      </c>
    </row>
    <row r="841" spans="1:13" x14ac:dyDescent="0.35">
      <c r="A841">
        <v>854</v>
      </c>
      <c r="B841">
        <v>55</v>
      </c>
      <c r="C841" s="1" t="s">
        <v>15</v>
      </c>
      <c r="D841" s="1" t="s">
        <v>42</v>
      </c>
      <c r="E841" s="1" t="s">
        <v>43</v>
      </c>
      <c r="F841">
        <v>6000</v>
      </c>
      <c r="G841">
        <v>60</v>
      </c>
      <c r="H841" s="1" t="s">
        <v>13</v>
      </c>
      <c r="I841" s="1" t="s">
        <v>14</v>
      </c>
      <c r="J841">
        <v>3</v>
      </c>
      <c r="K841" t="s">
        <v>49</v>
      </c>
      <c r="L841" t="s">
        <v>59</v>
      </c>
      <c r="M841" t="s">
        <v>52</v>
      </c>
    </row>
    <row r="842" spans="1:13" x14ac:dyDescent="0.35">
      <c r="A842">
        <v>855</v>
      </c>
      <c r="B842">
        <v>65</v>
      </c>
      <c r="C842" s="1" t="s">
        <v>10</v>
      </c>
      <c r="D842" s="1" t="s">
        <v>44</v>
      </c>
      <c r="E842" s="1" t="s">
        <v>45</v>
      </c>
      <c r="F842">
        <v>4000</v>
      </c>
      <c r="G842">
        <v>61</v>
      </c>
      <c r="H842" s="1" t="s">
        <v>13</v>
      </c>
      <c r="I842" s="1" t="s">
        <v>19</v>
      </c>
      <c r="J842">
        <v>4</v>
      </c>
      <c r="K842" t="s">
        <v>55</v>
      </c>
      <c r="L842" t="s">
        <v>59</v>
      </c>
      <c r="M842" t="s">
        <v>51</v>
      </c>
    </row>
    <row r="843" spans="1:13" x14ac:dyDescent="0.35">
      <c r="A843">
        <v>856</v>
      </c>
      <c r="B843">
        <v>55</v>
      </c>
      <c r="C843" s="1" t="s">
        <v>10</v>
      </c>
      <c r="D843" s="1" t="s">
        <v>11</v>
      </c>
      <c r="E843" s="1" t="s">
        <v>12</v>
      </c>
      <c r="F843">
        <v>15000</v>
      </c>
      <c r="G843">
        <v>62</v>
      </c>
      <c r="H843" s="1" t="s">
        <v>18</v>
      </c>
      <c r="I843" s="1" t="s">
        <v>14</v>
      </c>
      <c r="J843">
        <v>3</v>
      </c>
      <c r="K843" t="s">
        <v>49</v>
      </c>
      <c r="L843" t="s">
        <v>59</v>
      </c>
      <c r="M843" t="s">
        <v>52</v>
      </c>
    </row>
    <row r="844" spans="1:13" x14ac:dyDescent="0.35">
      <c r="A844">
        <v>857</v>
      </c>
      <c r="B844">
        <v>62</v>
      </c>
      <c r="C844" s="1" t="s">
        <v>15</v>
      </c>
      <c r="D844" s="1" t="s">
        <v>16</v>
      </c>
      <c r="E844" s="1" t="s">
        <v>17</v>
      </c>
      <c r="F844">
        <v>2000</v>
      </c>
      <c r="G844">
        <v>60</v>
      </c>
      <c r="H844" s="1" t="s">
        <v>13</v>
      </c>
      <c r="I844" s="1" t="s">
        <v>19</v>
      </c>
      <c r="J844">
        <v>4</v>
      </c>
      <c r="K844" t="s">
        <v>55</v>
      </c>
      <c r="L844" t="s">
        <v>59</v>
      </c>
      <c r="M844" t="s">
        <v>51</v>
      </c>
    </row>
    <row r="845" spans="1:13" x14ac:dyDescent="0.35">
      <c r="A845">
        <v>858</v>
      </c>
      <c r="B845">
        <v>35</v>
      </c>
      <c r="C845" s="1" t="s">
        <v>10</v>
      </c>
      <c r="D845" s="1" t="s">
        <v>20</v>
      </c>
      <c r="E845" s="1" t="s">
        <v>21</v>
      </c>
      <c r="F845">
        <v>500</v>
      </c>
      <c r="G845">
        <v>58</v>
      </c>
      <c r="H845" s="1" t="s">
        <v>18</v>
      </c>
      <c r="I845" s="1" t="s">
        <v>14</v>
      </c>
      <c r="J845">
        <v>5</v>
      </c>
      <c r="K845" t="s">
        <v>53</v>
      </c>
      <c r="L845" t="s">
        <v>59</v>
      </c>
      <c r="M845" t="s">
        <v>51</v>
      </c>
    </row>
    <row r="846" spans="1:13" x14ac:dyDescent="0.35">
      <c r="A846">
        <v>859</v>
      </c>
      <c r="B846">
        <v>78</v>
      </c>
      <c r="C846" s="1" t="s">
        <v>15</v>
      </c>
      <c r="D846" s="1" t="s">
        <v>22</v>
      </c>
      <c r="E846" s="1" t="s">
        <v>23</v>
      </c>
      <c r="F846">
        <v>10000</v>
      </c>
      <c r="G846">
        <v>65</v>
      </c>
      <c r="H846" s="1" t="s">
        <v>13</v>
      </c>
      <c r="I846" s="1" t="s">
        <v>19</v>
      </c>
      <c r="J846">
        <v>2</v>
      </c>
      <c r="K846" t="s">
        <v>55</v>
      </c>
      <c r="L846" t="s">
        <v>59</v>
      </c>
      <c r="M846" t="s">
        <v>57</v>
      </c>
    </row>
    <row r="847" spans="1:13" x14ac:dyDescent="0.35">
      <c r="A847">
        <v>860</v>
      </c>
      <c r="B847">
        <v>53</v>
      </c>
      <c r="C847" s="1" t="s">
        <v>10</v>
      </c>
      <c r="D847" s="1" t="s">
        <v>24</v>
      </c>
      <c r="E847" s="1" t="s">
        <v>25</v>
      </c>
      <c r="F847">
        <v>25000</v>
      </c>
      <c r="G847">
        <v>67</v>
      </c>
      <c r="H847" s="1" t="s">
        <v>18</v>
      </c>
      <c r="I847" s="1" t="s">
        <v>14</v>
      </c>
      <c r="J847">
        <v>4</v>
      </c>
      <c r="K847" t="s">
        <v>49</v>
      </c>
      <c r="L847" t="s">
        <v>59</v>
      </c>
      <c r="M847" t="s">
        <v>51</v>
      </c>
    </row>
    <row r="848" spans="1:13" x14ac:dyDescent="0.35">
      <c r="A848">
        <v>861</v>
      </c>
      <c r="B848">
        <v>72</v>
      </c>
      <c r="C848" s="1" t="s">
        <v>15</v>
      </c>
      <c r="D848" s="1" t="s">
        <v>26</v>
      </c>
      <c r="E848" s="1" t="s">
        <v>27</v>
      </c>
      <c r="F848">
        <v>1000</v>
      </c>
      <c r="G848">
        <v>61</v>
      </c>
      <c r="H848" s="1" t="s">
        <v>13</v>
      </c>
      <c r="I848" s="1" t="s">
        <v>19</v>
      </c>
      <c r="J848">
        <v>4</v>
      </c>
      <c r="K848" t="s">
        <v>55</v>
      </c>
      <c r="L848" t="s">
        <v>59</v>
      </c>
      <c r="M848" t="s">
        <v>51</v>
      </c>
    </row>
    <row r="849" spans="1:13" x14ac:dyDescent="0.35">
      <c r="A849">
        <v>862</v>
      </c>
      <c r="B849">
        <v>60</v>
      </c>
      <c r="C849" s="1" t="s">
        <v>10</v>
      </c>
      <c r="D849" s="1" t="s">
        <v>28</v>
      </c>
      <c r="E849" s="1" t="s">
        <v>29</v>
      </c>
      <c r="F849">
        <v>8000</v>
      </c>
      <c r="G849">
        <v>63</v>
      </c>
      <c r="H849" s="1" t="s">
        <v>18</v>
      </c>
      <c r="I849" s="1" t="s">
        <v>14</v>
      </c>
      <c r="J849">
        <v>3</v>
      </c>
      <c r="K849" t="s">
        <v>49</v>
      </c>
      <c r="L849" t="s">
        <v>59</v>
      </c>
      <c r="M849" t="s">
        <v>52</v>
      </c>
    </row>
    <row r="850" spans="1:13" x14ac:dyDescent="0.35">
      <c r="A850">
        <v>863</v>
      </c>
      <c r="B850">
        <v>45</v>
      </c>
      <c r="C850" s="1" t="s">
        <v>15</v>
      </c>
      <c r="D850" s="1" t="s">
        <v>30</v>
      </c>
      <c r="E850" s="1" t="s">
        <v>31</v>
      </c>
      <c r="F850">
        <v>3000</v>
      </c>
      <c r="G850">
        <v>63</v>
      </c>
      <c r="H850" s="1" t="s">
        <v>13</v>
      </c>
      <c r="I850" s="1" t="s">
        <v>14</v>
      </c>
      <c r="J850">
        <v>4</v>
      </c>
      <c r="K850" t="s">
        <v>49</v>
      </c>
      <c r="L850" t="s">
        <v>59</v>
      </c>
      <c r="M850" t="s">
        <v>51</v>
      </c>
    </row>
    <row r="851" spans="1:13" x14ac:dyDescent="0.35">
      <c r="A851">
        <v>864</v>
      </c>
      <c r="B851">
        <v>75</v>
      </c>
      <c r="C851" s="1" t="s">
        <v>10</v>
      </c>
      <c r="D851" s="1" t="s">
        <v>32</v>
      </c>
      <c r="E851" s="1" t="s">
        <v>33</v>
      </c>
      <c r="F851">
        <v>18000</v>
      </c>
      <c r="G851">
        <v>65</v>
      </c>
      <c r="H851" s="1" t="s">
        <v>18</v>
      </c>
      <c r="I851" s="1" t="s">
        <v>19</v>
      </c>
      <c r="J851">
        <v>2</v>
      </c>
      <c r="K851" t="s">
        <v>55</v>
      </c>
      <c r="L851" t="s">
        <v>59</v>
      </c>
      <c r="M851" t="s">
        <v>57</v>
      </c>
    </row>
    <row r="852" spans="1:13" x14ac:dyDescent="0.35">
      <c r="A852">
        <v>865</v>
      </c>
      <c r="B852">
        <v>28</v>
      </c>
      <c r="C852" s="1" t="s">
        <v>15</v>
      </c>
      <c r="D852" s="1" t="s">
        <v>34</v>
      </c>
      <c r="E852" s="1" t="s">
        <v>35</v>
      </c>
      <c r="F852">
        <v>100</v>
      </c>
      <c r="G852">
        <v>58</v>
      </c>
      <c r="H852" s="1" t="s">
        <v>13</v>
      </c>
      <c r="I852" s="1" t="s">
        <v>14</v>
      </c>
      <c r="J852">
        <v>5</v>
      </c>
      <c r="K852" t="s">
        <v>53</v>
      </c>
      <c r="L852" t="s">
        <v>59</v>
      </c>
      <c r="M852" t="s">
        <v>51</v>
      </c>
    </row>
    <row r="853" spans="1:13" x14ac:dyDescent="0.35">
      <c r="A853">
        <v>866</v>
      </c>
      <c r="B853">
        <v>52</v>
      </c>
      <c r="C853" s="1" t="s">
        <v>10</v>
      </c>
      <c r="D853" s="1" t="s">
        <v>36</v>
      </c>
      <c r="E853" s="1" t="s">
        <v>37</v>
      </c>
      <c r="F853">
        <v>800</v>
      </c>
      <c r="G853">
        <v>59</v>
      </c>
      <c r="H853" s="1" t="s">
        <v>13</v>
      </c>
      <c r="I853" s="1" t="s">
        <v>19</v>
      </c>
      <c r="J853">
        <v>4</v>
      </c>
      <c r="K853" t="s">
        <v>49</v>
      </c>
      <c r="L853" t="s">
        <v>59</v>
      </c>
      <c r="M853" t="s">
        <v>51</v>
      </c>
    </row>
    <row r="854" spans="1:13" x14ac:dyDescent="0.35">
      <c r="A854">
        <v>867</v>
      </c>
      <c r="B854">
        <v>67</v>
      </c>
      <c r="C854" s="1" t="s">
        <v>15</v>
      </c>
      <c r="D854" s="1" t="s">
        <v>38</v>
      </c>
      <c r="E854" s="1" t="s">
        <v>39</v>
      </c>
      <c r="F854">
        <v>20000</v>
      </c>
      <c r="G854">
        <v>66</v>
      </c>
      <c r="H854" s="1" t="s">
        <v>13</v>
      </c>
      <c r="I854" s="1" t="s">
        <v>14</v>
      </c>
      <c r="J854">
        <v>3</v>
      </c>
      <c r="K854" t="s">
        <v>55</v>
      </c>
      <c r="L854" t="s">
        <v>59</v>
      </c>
      <c r="M854" t="s">
        <v>52</v>
      </c>
    </row>
    <row r="855" spans="1:13" x14ac:dyDescent="0.35">
      <c r="A855">
        <v>868</v>
      </c>
      <c r="B855">
        <v>35</v>
      </c>
      <c r="C855" s="1" t="s">
        <v>10</v>
      </c>
      <c r="D855" s="1" t="s">
        <v>40</v>
      </c>
      <c r="E855" s="1" t="s">
        <v>41</v>
      </c>
      <c r="F855">
        <v>12000</v>
      </c>
      <c r="G855">
        <v>60</v>
      </c>
      <c r="H855" s="1" t="s">
        <v>13</v>
      </c>
      <c r="I855" s="1" t="s">
        <v>14</v>
      </c>
      <c r="J855">
        <v>4</v>
      </c>
      <c r="K855" t="s">
        <v>53</v>
      </c>
      <c r="L855" t="s">
        <v>59</v>
      </c>
      <c r="M855" t="s">
        <v>51</v>
      </c>
    </row>
    <row r="856" spans="1:13" x14ac:dyDescent="0.35">
      <c r="A856">
        <v>869</v>
      </c>
      <c r="B856">
        <v>50</v>
      </c>
      <c r="C856" s="1" t="s">
        <v>15</v>
      </c>
      <c r="D856" s="1" t="s">
        <v>42</v>
      </c>
      <c r="E856" s="1" t="s">
        <v>43</v>
      </c>
      <c r="F856">
        <v>6000</v>
      </c>
      <c r="G856">
        <v>61</v>
      </c>
      <c r="H856" s="1" t="s">
        <v>13</v>
      </c>
      <c r="I856" s="1" t="s">
        <v>14</v>
      </c>
      <c r="J856">
        <v>3</v>
      </c>
      <c r="K856" t="s">
        <v>49</v>
      </c>
      <c r="L856" t="s">
        <v>59</v>
      </c>
      <c r="M856" t="s">
        <v>52</v>
      </c>
    </row>
    <row r="857" spans="1:13" x14ac:dyDescent="0.35">
      <c r="A857">
        <v>870</v>
      </c>
      <c r="B857">
        <v>60</v>
      </c>
      <c r="C857" s="1" t="s">
        <v>10</v>
      </c>
      <c r="D857" s="1" t="s">
        <v>44</v>
      </c>
      <c r="E857" s="1" t="s">
        <v>45</v>
      </c>
      <c r="F857">
        <v>4000</v>
      </c>
      <c r="G857">
        <v>62</v>
      </c>
      <c r="H857" s="1" t="s">
        <v>13</v>
      </c>
      <c r="I857" s="1" t="s">
        <v>19</v>
      </c>
      <c r="J857">
        <v>4</v>
      </c>
      <c r="K857" t="s">
        <v>49</v>
      </c>
      <c r="L857" t="s">
        <v>59</v>
      </c>
      <c r="M857" t="s">
        <v>51</v>
      </c>
    </row>
    <row r="858" spans="1:13" x14ac:dyDescent="0.35">
      <c r="A858">
        <v>871</v>
      </c>
      <c r="B858">
        <v>48</v>
      </c>
      <c r="C858" s="1" t="s">
        <v>10</v>
      </c>
      <c r="D858" s="1" t="s">
        <v>11</v>
      </c>
      <c r="E858" s="1" t="s">
        <v>12</v>
      </c>
      <c r="F858">
        <v>15000</v>
      </c>
      <c r="G858">
        <v>63</v>
      </c>
      <c r="H858" s="1" t="s">
        <v>18</v>
      </c>
      <c r="I858" s="1" t="s">
        <v>14</v>
      </c>
      <c r="J858">
        <v>4</v>
      </c>
      <c r="K858" t="s">
        <v>49</v>
      </c>
      <c r="L858" t="s">
        <v>59</v>
      </c>
      <c r="M858" t="s">
        <v>51</v>
      </c>
    </row>
    <row r="859" spans="1:13" x14ac:dyDescent="0.35">
      <c r="A859">
        <v>872</v>
      </c>
      <c r="B859">
        <v>65</v>
      </c>
      <c r="C859" s="1" t="s">
        <v>15</v>
      </c>
      <c r="D859" s="1" t="s">
        <v>16</v>
      </c>
      <c r="E859" s="1" t="s">
        <v>17</v>
      </c>
      <c r="F859">
        <v>2000</v>
      </c>
      <c r="G859">
        <v>61</v>
      </c>
      <c r="H859" s="1" t="s">
        <v>13</v>
      </c>
      <c r="I859" s="1" t="s">
        <v>19</v>
      </c>
      <c r="J859">
        <v>3</v>
      </c>
      <c r="K859" t="s">
        <v>55</v>
      </c>
      <c r="L859" t="s">
        <v>59</v>
      </c>
      <c r="M859" t="s">
        <v>52</v>
      </c>
    </row>
    <row r="860" spans="1:13" x14ac:dyDescent="0.35">
      <c r="A860">
        <v>873</v>
      </c>
      <c r="B860">
        <v>30</v>
      </c>
      <c r="C860" s="1" t="s">
        <v>10</v>
      </c>
      <c r="D860" s="1" t="s">
        <v>20</v>
      </c>
      <c r="E860" s="1" t="s">
        <v>21</v>
      </c>
      <c r="F860">
        <v>500</v>
      </c>
      <c r="G860">
        <v>59</v>
      </c>
      <c r="H860" s="1" t="s">
        <v>13</v>
      </c>
      <c r="I860" s="1" t="s">
        <v>14</v>
      </c>
      <c r="J860">
        <v>5</v>
      </c>
      <c r="K860" t="s">
        <v>53</v>
      </c>
      <c r="L860" t="s">
        <v>59</v>
      </c>
      <c r="M860" t="s">
        <v>51</v>
      </c>
    </row>
    <row r="861" spans="1:13" x14ac:dyDescent="0.35">
      <c r="A861">
        <v>874</v>
      </c>
      <c r="B861">
        <v>70</v>
      </c>
      <c r="C861" s="1" t="s">
        <v>15</v>
      </c>
      <c r="D861" s="1" t="s">
        <v>22</v>
      </c>
      <c r="E861" s="1" t="s">
        <v>23</v>
      </c>
      <c r="F861">
        <v>10000</v>
      </c>
      <c r="G861">
        <v>66</v>
      </c>
      <c r="H861" s="1" t="s">
        <v>18</v>
      </c>
      <c r="I861" s="1" t="s">
        <v>19</v>
      </c>
      <c r="J861">
        <v>2</v>
      </c>
      <c r="K861" t="s">
        <v>55</v>
      </c>
      <c r="L861" t="s">
        <v>59</v>
      </c>
      <c r="M861" t="s">
        <v>57</v>
      </c>
    </row>
    <row r="862" spans="1:13" x14ac:dyDescent="0.35">
      <c r="A862">
        <v>875</v>
      </c>
      <c r="B862">
        <v>55</v>
      </c>
      <c r="C862" s="1" t="s">
        <v>10</v>
      </c>
      <c r="D862" s="1" t="s">
        <v>24</v>
      </c>
      <c r="E862" s="1" t="s">
        <v>25</v>
      </c>
      <c r="F862">
        <v>25000</v>
      </c>
      <c r="G862">
        <v>68</v>
      </c>
      <c r="H862" s="1" t="s">
        <v>13</v>
      </c>
      <c r="I862" s="1" t="s">
        <v>14</v>
      </c>
      <c r="J862">
        <v>4</v>
      </c>
      <c r="K862" t="s">
        <v>49</v>
      </c>
      <c r="L862" t="s">
        <v>59</v>
      </c>
      <c r="M862" t="s">
        <v>51</v>
      </c>
    </row>
    <row r="863" spans="1:13" x14ac:dyDescent="0.35">
      <c r="A863">
        <v>876</v>
      </c>
      <c r="B863">
        <v>68</v>
      </c>
      <c r="C863" s="1" t="s">
        <v>15</v>
      </c>
      <c r="D863" s="1" t="s">
        <v>26</v>
      </c>
      <c r="E863" s="1" t="s">
        <v>27</v>
      </c>
      <c r="F863">
        <v>1000</v>
      </c>
      <c r="G863">
        <v>62</v>
      </c>
      <c r="H863" s="1" t="s">
        <v>13</v>
      </c>
      <c r="I863" s="1" t="s">
        <v>19</v>
      </c>
      <c r="J863">
        <v>4</v>
      </c>
      <c r="K863" t="s">
        <v>55</v>
      </c>
      <c r="L863" t="s">
        <v>59</v>
      </c>
      <c r="M863" t="s">
        <v>51</v>
      </c>
    </row>
    <row r="864" spans="1:13" x14ac:dyDescent="0.35">
      <c r="A864">
        <v>877</v>
      </c>
      <c r="B864">
        <v>45</v>
      </c>
      <c r="C864" s="1" t="s">
        <v>10</v>
      </c>
      <c r="D864" s="1" t="s">
        <v>28</v>
      </c>
      <c r="E864" s="1" t="s">
        <v>29</v>
      </c>
      <c r="F864">
        <v>8000</v>
      </c>
      <c r="G864">
        <v>64</v>
      </c>
      <c r="H864" s="1" t="s">
        <v>13</v>
      </c>
      <c r="I864" s="1" t="s">
        <v>14</v>
      </c>
      <c r="J864">
        <v>3</v>
      </c>
      <c r="K864" t="s">
        <v>49</v>
      </c>
      <c r="L864" t="s">
        <v>59</v>
      </c>
      <c r="M864" t="s">
        <v>52</v>
      </c>
    </row>
    <row r="865" spans="1:13" x14ac:dyDescent="0.35">
      <c r="A865">
        <v>878</v>
      </c>
      <c r="B865">
        <v>40</v>
      </c>
      <c r="C865" s="1" t="s">
        <v>15</v>
      </c>
      <c r="D865" s="1" t="s">
        <v>30</v>
      </c>
      <c r="E865" s="1" t="s">
        <v>31</v>
      </c>
      <c r="F865">
        <v>3000</v>
      </c>
      <c r="G865">
        <v>64</v>
      </c>
      <c r="H865" s="1" t="s">
        <v>13</v>
      </c>
      <c r="I865" s="1" t="s">
        <v>14</v>
      </c>
      <c r="J865">
        <v>4</v>
      </c>
      <c r="K865" t="s">
        <v>49</v>
      </c>
      <c r="L865" t="s">
        <v>59</v>
      </c>
      <c r="M865" t="s">
        <v>51</v>
      </c>
    </row>
    <row r="866" spans="1:13" x14ac:dyDescent="0.35">
      <c r="A866">
        <v>879</v>
      </c>
      <c r="B866">
        <v>78</v>
      </c>
      <c r="C866" s="1" t="s">
        <v>10</v>
      </c>
      <c r="D866" s="1" t="s">
        <v>32</v>
      </c>
      <c r="E866" s="1" t="s">
        <v>33</v>
      </c>
      <c r="F866">
        <v>18000</v>
      </c>
      <c r="G866">
        <v>66</v>
      </c>
      <c r="H866" s="1" t="s">
        <v>18</v>
      </c>
      <c r="I866" s="1" t="s">
        <v>19</v>
      </c>
      <c r="J866">
        <v>2</v>
      </c>
      <c r="K866" t="s">
        <v>55</v>
      </c>
      <c r="L866" t="s">
        <v>59</v>
      </c>
      <c r="M866" t="s">
        <v>57</v>
      </c>
    </row>
    <row r="867" spans="1:13" x14ac:dyDescent="0.35">
      <c r="A867">
        <v>880</v>
      </c>
      <c r="B867">
        <v>25</v>
      </c>
      <c r="C867" s="1" t="s">
        <v>15</v>
      </c>
      <c r="D867" s="1" t="s">
        <v>34</v>
      </c>
      <c r="E867" s="1" t="s">
        <v>35</v>
      </c>
      <c r="F867">
        <v>100</v>
      </c>
      <c r="G867">
        <v>59</v>
      </c>
      <c r="H867" s="1" t="s">
        <v>13</v>
      </c>
      <c r="I867" s="1" t="s">
        <v>14</v>
      </c>
      <c r="J867">
        <v>5</v>
      </c>
      <c r="K867" t="s">
        <v>53</v>
      </c>
      <c r="L867" t="s">
        <v>59</v>
      </c>
      <c r="M867" t="s">
        <v>51</v>
      </c>
    </row>
    <row r="868" spans="1:13" x14ac:dyDescent="0.35">
      <c r="A868">
        <v>881</v>
      </c>
      <c r="B868">
        <v>52</v>
      </c>
      <c r="C868" s="1" t="s">
        <v>10</v>
      </c>
      <c r="D868" s="1" t="s">
        <v>36</v>
      </c>
      <c r="E868" s="1" t="s">
        <v>37</v>
      </c>
      <c r="F868">
        <v>800</v>
      </c>
      <c r="G868">
        <v>60</v>
      </c>
      <c r="H868" s="1" t="s">
        <v>13</v>
      </c>
      <c r="I868" s="1" t="s">
        <v>19</v>
      </c>
      <c r="J868">
        <v>4</v>
      </c>
      <c r="K868" t="s">
        <v>49</v>
      </c>
      <c r="L868" t="s">
        <v>59</v>
      </c>
      <c r="M868" t="s">
        <v>51</v>
      </c>
    </row>
    <row r="869" spans="1:13" x14ac:dyDescent="0.35">
      <c r="A869">
        <v>882</v>
      </c>
      <c r="B869">
        <v>58</v>
      </c>
      <c r="C869" s="1" t="s">
        <v>15</v>
      </c>
      <c r="D869" s="1" t="s">
        <v>38</v>
      </c>
      <c r="E869" s="1" t="s">
        <v>39</v>
      </c>
      <c r="F869">
        <v>20000</v>
      </c>
      <c r="G869">
        <v>67</v>
      </c>
      <c r="H869" s="1" t="s">
        <v>13</v>
      </c>
      <c r="I869" s="1" t="s">
        <v>14</v>
      </c>
      <c r="J869">
        <v>3</v>
      </c>
      <c r="K869" t="s">
        <v>49</v>
      </c>
      <c r="L869" t="s">
        <v>59</v>
      </c>
      <c r="M869" t="s">
        <v>52</v>
      </c>
    </row>
    <row r="870" spans="1:13" x14ac:dyDescent="0.35">
      <c r="A870">
        <v>883</v>
      </c>
      <c r="B870">
        <v>32</v>
      </c>
      <c r="C870" s="1" t="s">
        <v>10</v>
      </c>
      <c r="D870" s="1" t="s">
        <v>40</v>
      </c>
      <c r="E870" s="1" t="s">
        <v>41</v>
      </c>
      <c r="F870">
        <v>12000</v>
      </c>
      <c r="G870">
        <v>61</v>
      </c>
      <c r="H870" s="1" t="s">
        <v>13</v>
      </c>
      <c r="I870" s="1" t="s">
        <v>14</v>
      </c>
      <c r="J870">
        <v>4</v>
      </c>
      <c r="K870" t="s">
        <v>53</v>
      </c>
      <c r="L870" t="s">
        <v>59</v>
      </c>
      <c r="M870" t="s">
        <v>51</v>
      </c>
    </row>
    <row r="871" spans="1:13" x14ac:dyDescent="0.35">
      <c r="A871">
        <v>884</v>
      </c>
      <c r="B871">
        <v>55</v>
      </c>
      <c r="C871" s="1" t="s">
        <v>15</v>
      </c>
      <c r="D871" s="1" t="s">
        <v>42</v>
      </c>
      <c r="E871" s="1" t="s">
        <v>43</v>
      </c>
      <c r="F871">
        <v>6000</v>
      </c>
      <c r="G871">
        <v>62</v>
      </c>
      <c r="H871" s="1" t="s">
        <v>13</v>
      </c>
      <c r="I871" s="1" t="s">
        <v>14</v>
      </c>
      <c r="J871">
        <v>3</v>
      </c>
      <c r="K871" t="s">
        <v>49</v>
      </c>
      <c r="L871" t="s">
        <v>59</v>
      </c>
      <c r="M871" t="s">
        <v>52</v>
      </c>
    </row>
    <row r="872" spans="1:13" x14ac:dyDescent="0.35">
      <c r="A872">
        <v>885</v>
      </c>
      <c r="B872">
        <v>65</v>
      </c>
      <c r="C872" s="1" t="s">
        <v>10</v>
      </c>
      <c r="D872" s="1" t="s">
        <v>44</v>
      </c>
      <c r="E872" s="1" t="s">
        <v>45</v>
      </c>
      <c r="F872">
        <v>4000</v>
      </c>
      <c r="G872">
        <v>63</v>
      </c>
      <c r="H872" s="1" t="s">
        <v>13</v>
      </c>
      <c r="I872" s="1" t="s">
        <v>19</v>
      </c>
      <c r="J872">
        <v>4</v>
      </c>
      <c r="K872" t="s">
        <v>55</v>
      </c>
      <c r="L872" t="s">
        <v>59</v>
      </c>
      <c r="M872" t="s">
        <v>51</v>
      </c>
    </row>
    <row r="873" spans="1:13" x14ac:dyDescent="0.35">
      <c r="A873">
        <v>886</v>
      </c>
      <c r="B873">
        <v>55</v>
      </c>
      <c r="C873" s="1" t="s">
        <v>10</v>
      </c>
      <c r="D873" s="1" t="s">
        <v>11</v>
      </c>
      <c r="E873" s="1" t="s">
        <v>12</v>
      </c>
      <c r="F873">
        <v>15000</v>
      </c>
      <c r="G873">
        <v>64</v>
      </c>
      <c r="H873" s="1" t="s">
        <v>18</v>
      </c>
      <c r="I873" s="1" t="s">
        <v>14</v>
      </c>
      <c r="J873">
        <v>3</v>
      </c>
      <c r="K873" t="s">
        <v>49</v>
      </c>
      <c r="L873" t="s">
        <v>59</v>
      </c>
      <c r="M873" t="s">
        <v>52</v>
      </c>
    </row>
    <row r="874" spans="1:13" x14ac:dyDescent="0.35">
      <c r="A874">
        <v>887</v>
      </c>
      <c r="B874">
        <v>62</v>
      </c>
      <c r="C874" s="1" t="s">
        <v>15</v>
      </c>
      <c r="D874" s="1" t="s">
        <v>16</v>
      </c>
      <c r="E874" s="1" t="s">
        <v>17</v>
      </c>
      <c r="F874">
        <v>2000</v>
      </c>
      <c r="G874">
        <v>62</v>
      </c>
      <c r="H874" s="1" t="s">
        <v>13</v>
      </c>
      <c r="I874" s="1" t="s">
        <v>19</v>
      </c>
      <c r="J874">
        <v>4</v>
      </c>
      <c r="K874" t="s">
        <v>55</v>
      </c>
      <c r="L874" t="s">
        <v>59</v>
      </c>
      <c r="M874" t="s">
        <v>51</v>
      </c>
    </row>
    <row r="875" spans="1:13" x14ac:dyDescent="0.35">
      <c r="A875">
        <v>888</v>
      </c>
      <c r="B875">
        <v>35</v>
      </c>
      <c r="C875" s="1" t="s">
        <v>10</v>
      </c>
      <c r="D875" s="1" t="s">
        <v>20</v>
      </c>
      <c r="E875" s="1" t="s">
        <v>21</v>
      </c>
      <c r="F875">
        <v>500</v>
      </c>
      <c r="G875">
        <v>60</v>
      </c>
      <c r="H875" s="1" t="s">
        <v>18</v>
      </c>
      <c r="I875" s="1" t="s">
        <v>14</v>
      </c>
      <c r="J875">
        <v>5</v>
      </c>
      <c r="K875" t="s">
        <v>53</v>
      </c>
      <c r="L875" t="s">
        <v>59</v>
      </c>
      <c r="M875" t="s">
        <v>51</v>
      </c>
    </row>
    <row r="876" spans="1:13" x14ac:dyDescent="0.35">
      <c r="A876">
        <v>889</v>
      </c>
      <c r="B876">
        <v>78</v>
      </c>
      <c r="C876" s="1" t="s">
        <v>15</v>
      </c>
      <c r="D876" s="1" t="s">
        <v>22</v>
      </c>
      <c r="E876" s="1" t="s">
        <v>23</v>
      </c>
      <c r="F876">
        <v>10000</v>
      </c>
      <c r="G876">
        <v>67</v>
      </c>
      <c r="H876" s="1" t="s">
        <v>13</v>
      </c>
      <c r="I876" s="1" t="s">
        <v>19</v>
      </c>
      <c r="J876">
        <v>2</v>
      </c>
      <c r="K876" t="s">
        <v>55</v>
      </c>
      <c r="L876" t="s">
        <v>59</v>
      </c>
      <c r="M876" t="s">
        <v>57</v>
      </c>
    </row>
    <row r="877" spans="1:13" x14ac:dyDescent="0.35">
      <c r="A877">
        <v>890</v>
      </c>
      <c r="B877">
        <v>53</v>
      </c>
      <c r="C877" s="1" t="s">
        <v>10</v>
      </c>
      <c r="D877" s="1" t="s">
        <v>24</v>
      </c>
      <c r="E877" s="1" t="s">
        <v>25</v>
      </c>
      <c r="F877">
        <v>25000</v>
      </c>
      <c r="G877">
        <v>69</v>
      </c>
      <c r="H877" s="1" t="s">
        <v>18</v>
      </c>
      <c r="I877" s="1" t="s">
        <v>14</v>
      </c>
      <c r="J877">
        <v>4</v>
      </c>
      <c r="K877" t="s">
        <v>49</v>
      </c>
      <c r="L877" t="s">
        <v>59</v>
      </c>
      <c r="M877" t="s">
        <v>51</v>
      </c>
    </row>
    <row r="878" spans="1:13" x14ac:dyDescent="0.35">
      <c r="A878">
        <v>891</v>
      </c>
      <c r="B878">
        <v>72</v>
      </c>
      <c r="C878" s="1" t="s">
        <v>15</v>
      </c>
      <c r="D878" s="1" t="s">
        <v>26</v>
      </c>
      <c r="E878" s="1" t="s">
        <v>27</v>
      </c>
      <c r="F878">
        <v>1000</v>
      </c>
      <c r="G878">
        <v>63</v>
      </c>
      <c r="H878" s="1" t="s">
        <v>13</v>
      </c>
      <c r="I878" s="1" t="s">
        <v>19</v>
      </c>
      <c r="J878">
        <v>4</v>
      </c>
      <c r="K878" t="s">
        <v>55</v>
      </c>
      <c r="L878" t="s">
        <v>59</v>
      </c>
      <c r="M878" t="s">
        <v>51</v>
      </c>
    </row>
    <row r="879" spans="1:13" x14ac:dyDescent="0.35">
      <c r="A879">
        <v>892</v>
      </c>
      <c r="B879">
        <v>60</v>
      </c>
      <c r="C879" s="1" t="s">
        <v>10</v>
      </c>
      <c r="D879" s="1" t="s">
        <v>28</v>
      </c>
      <c r="E879" s="1" t="s">
        <v>29</v>
      </c>
      <c r="F879">
        <v>8000</v>
      </c>
      <c r="G879">
        <v>65</v>
      </c>
      <c r="H879" s="1" t="s">
        <v>18</v>
      </c>
      <c r="I879" s="1" t="s">
        <v>14</v>
      </c>
      <c r="J879">
        <v>3</v>
      </c>
      <c r="K879" t="s">
        <v>49</v>
      </c>
      <c r="L879" t="s">
        <v>59</v>
      </c>
      <c r="M879" t="s">
        <v>52</v>
      </c>
    </row>
    <row r="880" spans="1:13" x14ac:dyDescent="0.35">
      <c r="A880">
        <v>893</v>
      </c>
      <c r="B880">
        <v>45</v>
      </c>
      <c r="C880" s="1" t="s">
        <v>15</v>
      </c>
      <c r="D880" s="1" t="s">
        <v>30</v>
      </c>
      <c r="E880" s="1" t="s">
        <v>31</v>
      </c>
      <c r="F880">
        <v>3000</v>
      </c>
      <c r="G880">
        <v>65</v>
      </c>
      <c r="H880" s="1" t="s">
        <v>13</v>
      </c>
      <c r="I880" s="1" t="s">
        <v>14</v>
      </c>
      <c r="J880">
        <v>4</v>
      </c>
      <c r="K880" t="s">
        <v>49</v>
      </c>
      <c r="L880" t="s">
        <v>59</v>
      </c>
      <c r="M880" t="s">
        <v>51</v>
      </c>
    </row>
    <row r="881" spans="1:13" x14ac:dyDescent="0.35">
      <c r="A881">
        <v>894</v>
      </c>
      <c r="B881">
        <v>75</v>
      </c>
      <c r="C881" s="1" t="s">
        <v>10</v>
      </c>
      <c r="D881" s="1" t="s">
        <v>32</v>
      </c>
      <c r="E881" s="1" t="s">
        <v>33</v>
      </c>
      <c r="F881">
        <v>18000</v>
      </c>
      <c r="G881">
        <v>67</v>
      </c>
      <c r="H881" s="1" t="s">
        <v>18</v>
      </c>
      <c r="I881" s="1" t="s">
        <v>19</v>
      </c>
      <c r="J881">
        <v>2</v>
      </c>
      <c r="K881" t="s">
        <v>55</v>
      </c>
      <c r="L881" t="s">
        <v>59</v>
      </c>
      <c r="M881" t="s">
        <v>57</v>
      </c>
    </row>
    <row r="882" spans="1:13" x14ac:dyDescent="0.35">
      <c r="A882">
        <v>895</v>
      </c>
      <c r="B882">
        <v>28</v>
      </c>
      <c r="C882" s="1" t="s">
        <v>15</v>
      </c>
      <c r="D882" s="1" t="s">
        <v>34</v>
      </c>
      <c r="E882" s="1" t="s">
        <v>35</v>
      </c>
      <c r="F882">
        <v>100</v>
      </c>
      <c r="G882">
        <v>60</v>
      </c>
      <c r="H882" s="1" t="s">
        <v>13</v>
      </c>
      <c r="I882" s="1" t="s">
        <v>14</v>
      </c>
      <c r="J882">
        <v>5</v>
      </c>
      <c r="K882" t="s">
        <v>53</v>
      </c>
      <c r="L882" t="s">
        <v>59</v>
      </c>
      <c r="M882" t="s">
        <v>51</v>
      </c>
    </row>
    <row r="883" spans="1:13" x14ac:dyDescent="0.35">
      <c r="A883">
        <v>896</v>
      </c>
      <c r="B883">
        <v>52</v>
      </c>
      <c r="C883" s="1" t="s">
        <v>10</v>
      </c>
      <c r="D883" s="1" t="s">
        <v>36</v>
      </c>
      <c r="E883" s="1" t="s">
        <v>37</v>
      </c>
      <c r="F883">
        <v>800</v>
      </c>
      <c r="G883">
        <v>61</v>
      </c>
      <c r="H883" s="1" t="s">
        <v>13</v>
      </c>
      <c r="I883" s="1" t="s">
        <v>19</v>
      </c>
      <c r="J883">
        <v>4</v>
      </c>
      <c r="K883" t="s">
        <v>49</v>
      </c>
      <c r="L883" t="s">
        <v>59</v>
      </c>
      <c r="M883" t="s">
        <v>51</v>
      </c>
    </row>
    <row r="884" spans="1:13" x14ac:dyDescent="0.35">
      <c r="A884">
        <v>897</v>
      </c>
      <c r="B884">
        <v>67</v>
      </c>
      <c r="C884" s="1" t="s">
        <v>15</v>
      </c>
      <c r="D884" s="1" t="s">
        <v>38</v>
      </c>
      <c r="E884" s="1" t="s">
        <v>39</v>
      </c>
      <c r="F884">
        <v>20000</v>
      </c>
      <c r="G884">
        <v>68</v>
      </c>
      <c r="H884" s="1" t="s">
        <v>13</v>
      </c>
      <c r="I884" s="1" t="s">
        <v>14</v>
      </c>
      <c r="J884">
        <v>3</v>
      </c>
      <c r="K884" t="s">
        <v>55</v>
      </c>
      <c r="L884" t="s">
        <v>59</v>
      </c>
      <c r="M884" t="s">
        <v>52</v>
      </c>
    </row>
    <row r="885" spans="1:13" x14ac:dyDescent="0.35">
      <c r="A885">
        <v>898</v>
      </c>
      <c r="B885">
        <v>35</v>
      </c>
      <c r="C885" s="1" t="s">
        <v>10</v>
      </c>
      <c r="D885" s="1" t="s">
        <v>40</v>
      </c>
      <c r="E885" s="1" t="s">
        <v>41</v>
      </c>
      <c r="F885">
        <v>12000</v>
      </c>
      <c r="G885">
        <v>62</v>
      </c>
      <c r="H885" s="1" t="s">
        <v>13</v>
      </c>
      <c r="I885" s="1" t="s">
        <v>14</v>
      </c>
      <c r="J885">
        <v>4</v>
      </c>
      <c r="K885" t="s">
        <v>53</v>
      </c>
      <c r="L885" t="s">
        <v>59</v>
      </c>
      <c r="M885" t="s">
        <v>51</v>
      </c>
    </row>
    <row r="886" spans="1:13" x14ac:dyDescent="0.35">
      <c r="A886">
        <v>899</v>
      </c>
      <c r="B886">
        <v>50</v>
      </c>
      <c r="C886" s="1" t="s">
        <v>15</v>
      </c>
      <c r="D886" s="1" t="s">
        <v>42</v>
      </c>
      <c r="E886" s="1" t="s">
        <v>43</v>
      </c>
      <c r="F886">
        <v>6000</v>
      </c>
      <c r="G886">
        <v>63</v>
      </c>
      <c r="H886" s="1" t="s">
        <v>13</v>
      </c>
      <c r="I886" s="1" t="s">
        <v>14</v>
      </c>
      <c r="J886">
        <v>3</v>
      </c>
      <c r="K886" t="s">
        <v>49</v>
      </c>
      <c r="L886" t="s">
        <v>59</v>
      </c>
      <c r="M886" t="s">
        <v>52</v>
      </c>
    </row>
    <row r="887" spans="1:13" x14ac:dyDescent="0.35">
      <c r="A887">
        <v>900</v>
      </c>
      <c r="B887">
        <v>60</v>
      </c>
      <c r="C887" s="1" t="s">
        <v>10</v>
      </c>
      <c r="D887" s="1" t="s">
        <v>44</v>
      </c>
      <c r="E887" s="1" t="s">
        <v>45</v>
      </c>
      <c r="F887">
        <v>4000</v>
      </c>
      <c r="G887">
        <v>64</v>
      </c>
      <c r="H887" s="1" t="s">
        <v>13</v>
      </c>
      <c r="I887" s="1" t="s">
        <v>19</v>
      </c>
      <c r="J887">
        <v>4</v>
      </c>
      <c r="K887" t="s">
        <v>49</v>
      </c>
      <c r="L887" t="s">
        <v>59</v>
      </c>
      <c r="M887" t="s">
        <v>51</v>
      </c>
    </row>
    <row r="888" spans="1:13" x14ac:dyDescent="0.35">
      <c r="A888">
        <v>901</v>
      </c>
      <c r="B888">
        <v>48</v>
      </c>
      <c r="C888" s="1" t="s">
        <v>10</v>
      </c>
      <c r="D888" s="1" t="s">
        <v>11</v>
      </c>
      <c r="E888" s="1" t="s">
        <v>12</v>
      </c>
      <c r="F888">
        <v>15000</v>
      </c>
      <c r="G888">
        <v>65</v>
      </c>
      <c r="H888" s="1" t="s">
        <v>18</v>
      </c>
      <c r="I888" s="1" t="s">
        <v>14</v>
      </c>
      <c r="J888">
        <v>4</v>
      </c>
      <c r="K888" t="s">
        <v>49</v>
      </c>
      <c r="L888" t="s">
        <v>59</v>
      </c>
      <c r="M888" t="s">
        <v>51</v>
      </c>
    </row>
    <row r="889" spans="1:13" x14ac:dyDescent="0.35">
      <c r="A889">
        <v>902</v>
      </c>
      <c r="B889">
        <v>65</v>
      </c>
      <c r="C889" s="1" t="s">
        <v>15</v>
      </c>
      <c r="D889" s="1" t="s">
        <v>16</v>
      </c>
      <c r="E889" s="1" t="s">
        <v>17</v>
      </c>
      <c r="F889">
        <v>2000</v>
      </c>
      <c r="G889">
        <v>63</v>
      </c>
      <c r="H889" s="1" t="s">
        <v>13</v>
      </c>
      <c r="I889" s="1" t="s">
        <v>19</v>
      </c>
      <c r="J889">
        <v>3</v>
      </c>
      <c r="K889" t="s">
        <v>55</v>
      </c>
      <c r="L889" t="s">
        <v>59</v>
      </c>
      <c r="M889" t="s">
        <v>52</v>
      </c>
    </row>
    <row r="890" spans="1:13" x14ac:dyDescent="0.35">
      <c r="A890">
        <v>903</v>
      </c>
      <c r="B890">
        <v>30</v>
      </c>
      <c r="C890" s="1" t="s">
        <v>10</v>
      </c>
      <c r="D890" s="1" t="s">
        <v>20</v>
      </c>
      <c r="E890" s="1" t="s">
        <v>21</v>
      </c>
      <c r="F890">
        <v>500</v>
      </c>
      <c r="G890">
        <v>61</v>
      </c>
      <c r="H890" s="1" t="s">
        <v>13</v>
      </c>
      <c r="I890" s="1" t="s">
        <v>14</v>
      </c>
      <c r="J890">
        <v>5</v>
      </c>
      <c r="K890" t="s">
        <v>53</v>
      </c>
      <c r="L890" t="s">
        <v>59</v>
      </c>
      <c r="M890" t="s">
        <v>51</v>
      </c>
    </row>
    <row r="891" spans="1:13" x14ac:dyDescent="0.35">
      <c r="A891">
        <v>904</v>
      </c>
      <c r="B891">
        <v>70</v>
      </c>
      <c r="C891" s="1" t="s">
        <v>15</v>
      </c>
      <c r="D891" s="1" t="s">
        <v>22</v>
      </c>
      <c r="E891" s="1" t="s">
        <v>23</v>
      </c>
      <c r="F891">
        <v>10000</v>
      </c>
      <c r="G891">
        <v>68</v>
      </c>
      <c r="H891" s="1" t="s">
        <v>18</v>
      </c>
      <c r="I891" s="1" t="s">
        <v>19</v>
      </c>
      <c r="J891">
        <v>2</v>
      </c>
      <c r="K891" t="s">
        <v>55</v>
      </c>
      <c r="L891" t="s">
        <v>59</v>
      </c>
      <c r="M891" t="s">
        <v>57</v>
      </c>
    </row>
    <row r="892" spans="1:13" x14ac:dyDescent="0.35">
      <c r="A892">
        <v>905</v>
      </c>
      <c r="B892">
        <v>55</v>
      </c>
      <c r="C892" s="1" t="s">
        <v>10</v>
      </c>
      <c r="D892" s="1" t="s">
        <v>24</v>
      </c>
      <c r="E892" s="1" t="s">
        <v>25</v>
      </c>
      <c r="F892">
        <v>25000</v>
      </c>
      <c r="G892">
        <v>70</v>
      </c>
      <c r="H892" s="1" t="s">
        <v>13</v>
      </c>
      <c r="I892" s="1" t="s">
        <v>14</v>
      </c>
      <c r="J892">
        <v>4</v>
      </c>
      <c r="K892" t="s">
        <v>49</v>
      </c>
      <c r="L892" t="s">
        <v>59</v>
      </c>
      <c r="M892" t="s">
        <v>51</v>
      </c>
    </row>
    <row r="893" spans="1:13" x14ac:dyDescent="0.35">
      <c r="A893">
        <v>907</v>
      </c>
      <c r="B893">
        <v>45</v>
      </c>
      <c r="C893" s="1" t="s">
        <v>10</v>
      </c>
      <c r="D893" s="1" t="s">
        <v>28</v>
      </c>
      <c r="E893" s="1" t="s">
        <v>29</v>
      </c>
      <c r="F893">
        <v>8000</v>
      </c>
      <c r="G893">
        <v>66</v>
      </c>
      <c r="H893" s="1" t="s">
        <v>13</v>
      </c>
      <c r="I893" s="1" t="s">
        <v>14</v>
      </c>
      <c r="J893">
        <v>3</v>
      </c>
      <c r="K893" t="s">
        <v>49</v>
      </c>
      <c r="L893" t="s">
        <v>59</v>
      </c>
      <c r="M893" t="s">
        <v>52</v>
      </c>
    </row>
    <row r="894" spans="1:13" x14ac:dyDescent="0.35">
      <c r="A894">
        <v>908</v>
      </c>
      <c r="B894">
        <v>40</v>
      </c>
      <c r="C894" s="1" t="s">
        <v>15</v>
      </c>
      <c r="D894" s="1" t="s">
        <v>30</v>
      </c>
      <c r="E894" s="1" t="s">
        <v>31</v>
      </c>
      <c r="F894">
        <v>3000</v>
      </c>
      <c r="G894">
        <v>66</v>
      </c>
      <c r="H894" s="1" t="s">
        <v>13</v>
      </c>
      <c r="I894" s="1" t="s">
        <v>14</v>
      </c>
      <c r="J894">
        <v>4</v>
      </c>
      <c r="K894" t="s">
        <v>49</v>
      </c>
      <c r="L894" t="s">
        <v>59</v>
      </c>
      <c r="M894" t="s">
        <v>51</v>
      </c>
    </row>
    <row r="895" spans="1:13" x14ac:dyDescent="0.35">
      <c r="A895">
        <v>909</v>
      </c>
      <c r="B895">
        <v>78</v>
      </c>
      <c r="C895" s="1" t="s">
        <v>10</v>
      </c>
      <c r="D895" s="1" t="s">
        <v>32</v>
      </c>
      <c r="E895" s="1" t="s">
        <v>33</v>
      </c>
      <c r="F895">
        <v>18000</v>
      </c>
      <c r="G895">
        <v>68</v>
      </c>
      <c r="H895" s="1" t="s">
        <v>18</v>
      </c>
      <c r="I895" s="1" t="s">
        <v>19</v>
      </c>
      <c r="J895">
        <v>2</v>
      </c>
      <c r="K895" t="s">
        <v>55</v>
      </c>
      <c r="L895" t="s">
        <v>59</v>
      </c>
      <c r="M895" t="s">
        <v>57</v>
      </c>
    </row>
    <row r="896" spans="1:13" x14ac:dyDescent="0.35">
      <c r="A896">
        <v>910</v>
      </c>
      <c r="B896">
        <v>25</v>
      </c>
      <c r="C896" s="1" t="s">
        <v>15</v>
      </c>
      <c r="D896" s="1" t="s">
        <v>34</v>
      </c>
      <c r="E896" s="1" t="s">
        <v>35</v>
      </c>
      <c r="F896">
        <v>100</v>
      </c>
      <c r="G896">
        <v>61</v>
      </c>
      <c r="H896" s="1" t="s">
        <v>13</v>
      </c>
      <c r="I896" s="1" t="s">
        <v>14</v>
      </c>
      <c r="J896">
        <v>5</v>
      </c>
      <c r="K896" t="s">
        <v>53</v>
      </c>
      <c r="L896" t="s">
        <v>59</v>
      </c>
      <c r="M896" t="s">
        <v>51</v>
      </c>
    </row>
    <row r="897" spans="1:13" x14ac:dyDescent="0.35">
      <c r="A897">
        <v>911</v>
      </c>
      <c r="B897">
        <v>52</v>
      </c>
      <c r="C897" s="1" t="s">
        <v>10</v>
      </c>
      <c r="D897" s="1" t="s">
        <v>36</v>
      </c>
      <c r="E897" s="1" t="s">
        <v>37</v>
      </c>
      <c r="F897">
        <v>800</v>
      </c>
      <c r="G897">
        <v>62</v>
      </c>
      <c r="H897" s="1" t="s">
        <v>13</v>
      </c>
      <c r="I897" s="1" t="s">
        <v>19</v>
      </c>
      <c r="J897">
        <v>4</v>
      </c>
      <c r="K897" t="s">
        <v>49</v>
      </c>
      <c r="L897" t="s">
        <v>59</v>
      </c>
      <c r="M897" t="s">
        <v>51</v>
      </c>
    </row>
    <row r="898" spans="1:13" x14ac:dyDescent="0.35">
      <c r="A898">
        <v>912</v>
      </c>
      <c r="B898">
        <v>58</v>
      </c>
      <c r="C898" s="1" t="s">
        <v>15</v>
      </c>
      <c r="D898" s="1" t="s">
        <v>38</v>
      </c>
      <c r="E898" s="1" t="s">
        <v>39</v>
      </c>
      <c r="F898">
        <v>20000</v>
      </c>
      <c r="G898">
        <v>69</v>
      </c>
      <c r="H898" s="1" t="s">
        <v>13</v>
      </c>
      <c r="I898" s="1" t="s">
        <v>14</v>
      </c>
      <c r="J898">
        <v>3</v>
      </c>
      <c r="K898" t="s">
        <v>49</v>
      </c>
      <c r="L898" t="s">
        <v>59</v>
      </c>
      <c r="M898" t="s">
        <v>52</v>
      </c>
    </row>
    <row r="899" spans="1:13" x14ac:dyDescent="0.35">
      <c r="A899">
        <v>913</v>
      </c>
      <c r="B899">
        <v>32</v>
      </c>
      <c r="C899" s="1" t="s">
        <v>10</v>
      </c>
      <c r="D899" s="1" t="s">
        <v>40</v>
      </c>
      <c r="E899" s="1" t="s">
        <v>41</v>
      </c>
      <c r="F899">
        <v>12000</v>
      </c>
      <c r="G899">
        <v>63</v>
      </c>
      <c r="H899" s="1" t="s">
        <v>13</v>
      </c>
      <c r="I899" s="1" t="s">
        <v>14</v>
      </c>
      <c r="J899">
        <v>4</v>
      </c>
      <c r="K899" t="s">
        <v>53</v>
      </c>
      <c r="L899" t="s">
        <v>59</v>
      </c>
      <c r="M899" t="s">
        <v>51</v>
      </c>
    </row>
    <row r="900" spans="1:13" x14ac:dyDescent="0.35">
      <c r="A900">
        <v>914</v>
      </c>
      <c r="B900">
        <v>55</v>
      </c>
      <c r="C900" s="1" t="s">
        <v>15</v>
      </c>
      <c r="D900" s="1" t="s">
        <v>42</v>
      </c>
      <c r="E900" s="1" t="s">
        <v>43</v>
      </c>
      <c r="F900">
        <v>6000</v>
      </c>
      <c r="G900">
        <v>64</v>
      </c>
      <c r="H900" s="1" t="s">
        <v>13</v>
      </c>
      <c r="I900" s="1" t="s">
        <v>14</v>
      </c>
      <c r="J900">
        <v>3</v>
      </c>
      <c r="K900" t="s">
        <v>49</v>
      </c>
      <c r="L900" t="s">
        <v>59</v>
      </c>
      <c r="M900" t="s">
        <v>52</v>
      </c>
    </row>
    <row r="901" spans="1:13" x14ac:dyDescent="0.35">
      <c r="A901">
        <v>915</v>
      </c>
      <c r="B901">
        <v>65</v>
      </c>
      <c r="C901" s="1" t="s">
        <v>10</v>
      </c>
      <c r="D901" s="1" t="s">
        <v>44</v>
      </c>
      <c r="E901" s="1" t="s">
        <v>45</v>
      </c>
      <c r="F901">
        <v>4000</v>
      </c>
      <c r="G901">
        <v>65</v>
      </c>
      <c r="H901" s="1" t="s">
        <v>13</v>
      </c>
      <c r="I901" s="1" t="s">
        <v>19</v>
      </c>
      <c r="J901">
        <v>4</v>
      </c>
      <c r="K901" t="s">
        <v>55</v>
      </c>
      <c r="L901" t="s">
        <v>59</v>
      </c>
      <c r="M901" t="s">
        <v>51</v>
      </c>
    </row>
    <row r="902" spans="1:13" x14ac:dyDescent="0.35">
      <c r="A902">
        <v>916</v>
      </c>
      <c r="B902">
        <v>55</v>
      </c>
      <c r="C902" s="1" t="s">
        <v>10</v>
      </c>
      <c r="D902" s="1" t="s">
        <v>11</v>
      </c>
      <c r="E902" s="1" t="s">
        <v>12</v>
      </c>
      <c r="F902">
        <v>15000</v>
      </c>
      <c r="G902">
        <v>66</v>
      </c>
      <c r="H902" s="1" t="s">
        <v>18</v>
      </c>
      <c r="I902" s="1" t="s">
        <v>14</v>
      </c>
      <c r="J902">
        <v>3</v>
      </c>
      <c r="K902" t="s">
        <v>49</v>
      </c>
      <c r="L902" t="s">
        <v>59</v>
      </c>
      <c r="M902" t="s">
        <v>52</v>
      </c>
    </row>
    <row r="903" spans="1:13" x14ac:dyDescent="0.35">
      <c r="A903">
        <v>917</v>
      </c>
      <c r="B903">
        <v>62</v>
      </c>
      <c r="C903" s="1" t="s">
        <v>15</v>
      </c>
      <c r="D903" s="1" t="s">
        <v>16</v>
      </c>
      <c r="E903" s="1" t="s">
        <v>17</v>
      </c>
      <c r="F903">
        <v>2000</v>
      </c>
      <c r="G903">
        <v>64</v>
      </c>
      <c r="H903" s="1" t="s">
        <v>13</v>
      </c>
      <c r="I903" s="1" t="s">
        <v>19</v>
      </c>
      <c r="J903">
        <v>4</v>
      </c>
      <c r="K903" t="s">
        <v>55</v>
      </c>
      <c r="L903" t="s">
        <v>59</v>
      </c>
      <c r="M903" t="s">
        <v>51</v>
      </c>
    </row>
    <row r="904" spans="1:13" x14ac:dyDescent="0.35">
      <c r="A904">
        <v>918</v>
      </c>
      <c r="B904">
        <v>35</v>
      </c>
      <c r="C904" s="1" t="s">
        <v>10</v>
      </c>
      <c r="D904" s="1" t="s">
        <v>20</v>
      </c>
      <c r="E904" s="1" t="s">
        <v>21</v>
      </c>
      <c r="F904">
        <v>500</v>
      </c>
      <c r="G904">
        <v>62</v>
      </c>
      <c r="H904" s="1" t="s">
        <v>18</v>
      </c>
      <c r="I904" s="1" t="s">
        <v>14</v>
      </c>
      <c r="J904">
        <v>5</v>
      </c>
      <c r="K904" t="s">
        <v>53</v>
      </c>
      <c r="L904" t="s">
        <v>59</v>
      </c>
      <c r="M904" t="s">
        <v>51</v>
      </c>
    </row>
    <row r="905" spans="1:13" x14ac:dyDescent="0.35">
      <c r="A905">
        <v>919</v>
      </c>
      <c r="B905">
        <v>78</v>
      </c>
      <c r="C905" s="1" t="s">
        <v>15</v>
      </c>
      <c r="D905" s="1" t="s">
        <v>22</v>
      </c>
      <c r="E905" s="1" t="s">
        <v>23</v>
      </c>
      <c r="F905">
        <v>10000</v>
      </c>
      <c r="G905">
        <v>69</v>
      </c>
      <c r="H905" s="1" t="s">
        <v>13</v>
      </c>
      <c r="I905" s="1" t="s">
        <v>19</v>
      </c>
      <c r="J905">
        <v>2</v>
      </c>
      <c r="K905" t="s">
        <v>55</v>
      </c>
      <c r="L905" t="s">
        <v>59</v>
      </c>
      <c r="M905" t="s">
        <v>57</v>
      </c>
    </row>
    <row r="906" spans="1:13" x14ac:dyDescent="0.35">
      <c r="A906">
        <v>920</v>
      </c>
      <c r="B906">
        <v>53</v>
      </c>
      <c r="C906" s="1" t="s">
        <v>10</v>
      </c>
      <c r="D906" s="1" t="s">
        <v>24</v>
      </c>
      <c r="E906" s="1" t="s">
        <v>25</v>
      </c>
      <c r="F906">
        <v>25000</v>
      </c>
      <c r="G906">
        <v>71</v>
      </c>
      <c r="H906" s="1" t="s">
        <v>18</v>
      </c>
      <c r="I906" s="1" t="s">
        <v>14</v>
      </c>
      <c r="J906">
        <v>4</v>
      </c>
      <c r="K906" t="s">
        <v>49</v>
      </c>
      <c r="L906" t="s">
        <v>59</v>
      </c>
      <c r="M906" t="s">
        <v>51</v>
      </c>
    </row>
    <row r="907" spans="1:13" x14ac:dyDescent="0.35">
      <c r="A907">
        <v>921</v>
      </c>
      <c r="B907">
        <v>72</v>
      </c>
      <c r="C907" s="1" t="s">
        <v>15</v>
      </c>
      <c r="D907" s="1" t="s">
        <v>26</v>
      </c>
      <c r="E907" s="1" t="s">
        <v>27</v>
      </c>
      <c r="F907">
        <v>1000</v>
      </c>
      <c r="G907">
        <v>65</v>
      </c>
      <c r="H907" s="1" t="s">
        <v>13</v>
      </c>
      <c r="I907" s="1" t="s">
        <v>19</v>
      </c>
      <c r="J907">
        <v>4</v>
      </c>
      <c r="K907" t="s">
        <v>55</v>
      </c>
      <c r="L907" t="s">
        <v>59</v>
      </c>
      <c r="M907" t="s">
        <v>51</v>
      </c>
    </row>
    <row r="908" spans="1:13" x14ac:dyDescent="0.35">
      <c r="A908">
        <v>922</v>
      </c>
      <c r="B908">
        <v>60</v>
      </c>
      <c r="C908" s="1" t="s">
        <v>10</v>
      </c>
      <c r="D908" s="1" t="s">
        <v>28</v>
      </c>
      <c r="E908" s="1" t="s">
        <v>29</v>
      </c>
      <c r="F908">
        <v>8000</v>
      </c>
      <c r="G908">
        <v>67</v>
      </c>
      <c r="H908" s="1" t="s">
        <v>18</v>
      </c>
      <c r="I908" s="1" t="s">
        <v>14</v>
      </c>
      <c r="J908">
        <v>3</v>
      </c>
      <c r="K908" t="s">
        <v>49</v>
      </c>
      <c r="L908" t="s">
        <v>59</v>
      </c>
      <c r="M908" t="s">
        <v>52</v>
      </c>
    </row>
    <row r="909" spans="1:13" x14ac:dyDescent="0.35">
      <c r="A909">
        <v>923</v>
      </c>
      <c r="B909">
        <v>45</v>
      </c>
      <c r="C909" s="1" t="s">
        <v>15</v>
      </c>
      <c r="D909" s="1" t="s">
        <v>30</v>
      </c>
      <c r="E909" s="1" t="s">
        <v>31</v>
      </c>
      <c r="F909">
        <v>3000</v>
      </c>
      <c r="G909">
        <v>67</v>
      </c>
      <c r="H909" s="1" t="s">
        <v>13</v>
      </c>
      <c r="I909" s="1" t="s">
        <v>14</v>
      </c>
      <c r="J909">
        <v>4</v>
      </c>
      <c r="K909" t="s">
        <v>49</v>
      </c>
      <c r="L909" t="s">
        <v>59</v>
      </c>
      <c r="M909" t="s">
        <v>51</v>
      </c>
    </row>
    <row r="910" spans="1:13" x14ac:dyDescent="0.35">
      <c r="A910">
        <v>924</v>
      </c>
      <c r="B910">
        <v>75</v>
      </c>
      <c r="C910" s="1" t="s">
        <v>10</v>
      </c>
      <c r="D910" s="1" t="s">
        <v>32</v>
      </c>
      <c r="E910" s="1" t="s">
        <v>33</v>
      </c>
      <c r="F910">
        <v>18000</v>
      </c>
      <c r="G910">
        <v>69</v>
      </c>
      <c r="H910" s="1" t="s">
        <v>18</v>
      </c>
      <c r="I910" s="1" t="s">
        <v>19</v>
      </c>
      <c r="J910">
        <v>2</v>
      </c>
      <c r="K910" t="s">
        <v>55</v>
      </c>
      <c r="L910" t="s">
        <v>59</v>
      </c>
      <c r="M910" t="s">
        <v>57</v>
      </c>
    </row>
    <row r="911" spans="1:13" x14ac:dyDescent="0.35">
      <c r="A911">
        <v>925</v>
      </c>
      <c r="B911">
        <v>28</v>
      </c>
      <c r="C911" s="1" t="s">
        <v>15</v>
      </c>
      <c r="D911" s="1" t="s">
        <v>34</v>
      </c>
      <c r="E911" s="1" t="s">
        <v>35</v>
      </c>
      <c r="F911">
        <v>100</v>
      </c>
      <c r="G911">
        <v>62</v>
      </c>
      <c r="H911" s="1" t="s">
        <v>13</v>
      </c>
      <c r="I911" s="1" t="s">
        <v>14</v>
      </c>
      <c r="J911">
        <v>5</v>
      </c>
      <c r="K911" t="s">
        <v>53</v>
      </c>
      <c r="L911" t="s">
        <v>59</v>
      </c>
      <c r="M911" t="s">
        <v>51</v>
      </c>
    </row>
    <row r="912" spans="1:13" x14ac:dyDescent="0.35">
      <c r="A912">
        <v>926</v>
      </c>
      <c r="B912">
        <v>52</v>
      </c>
      <c r="C912" s="1" t="s">
        <v>10</v>
      </c>
      <c r="D912" s="1" t="s">
        <v>36</v>
      </c>
      <c r="E912" s="1" t="s">
        <v>37</v>
      </c>
      <c r="F912">
        <v>800</v>
      </c>
      <c r="G912">
        <v>63</v>
      </c>
      <c r="H912" s="1" t="s">
        <v>13</v>
      </c>
      <c r="I912" s="1" t="s">
        <v>19</v>
      </c>
      <c r="J912">
        <v>4</v>
      </c>
      <c r="K912" t="s">
        <v>49</v>
      </c>
      <c r="L912" t="s">
        <v>59</v>
      </c>
      <c r="M912" t="s">
        <v>51</v>
      </c>
    </row>
    <row r="913" spans="1:13" x14ac:dyDescent="0.35">
      <c r="A913">
        <v>927</v>
      </c>
      <c r="B913">
        <v>67</v>
      </c>
      <c r="C913" s="1" t="s">
        <v>15</v>
      </c>
      <c r="D913" s="1" t="s">
        <v>38</v>
      </c>
      <c r="E913" s="1" t="s">
        <v>39</v>
      </c>
      <c r="F913">
        <v>20000</v>
      </c>
      <c r="G913">
        <v>70</v>
      </c>
      <c r="H913" s="1" t="s">
        <v>13</v>
      </c>
      <c r="I913" s="1" t="s">
        <v>14</v>
      </c>
      <c r="J913">
        <v>3</v>
      </c>
      <c r="K913" t="s">
        <v>55</v>
      </c>
      <c r="L913" t="s">
        <v>59</v>
      </c>
      <c r="M913" t="s">
        <v>52</v>
      </c>
    </row>
    <row r="914" spans="1:13" x14ac:dyDescent="0.35">
      <c r="A914">
        <v>928</v>
      </c>
      <c r="B914">
        <v>35</v>
      </c>
      <c r="C914" s="1" t="s">
        <v>10</v>
      </c>
      <c r="D914" s="1" t="s">
        <v>40</v>
      </c>
      <c r="E914" s="1" t="s">
        <v>41</v>
      </c>
      <c r="F914">
        <v>12000</v>
      </c>
      <c r="G914">
        <v>64</v>
      </c>
      <c r="H914" s="1" t="s">
        <v>13</v>
      </c>
      <c r="I914" s="1" t="s">
        <v>14</v>
      </c>
      <c r="J914">
        <v>4</v>
      </c>
      <c r="K914" t="s">
        <v>53</v>
      </c>
      <c r="L914" t="s">
        <v>59</v>
      </c>
      <c r="M914" t="s">
        <v>51</v>
      </c>
    </row>
    <row r="915" spans="1:13" x14ac:dyDescent="0.35">
      <c r="A915">
        <v>929</v>
      </c>
      <c r="B915">
        <v>50</v>
      </c>
      <c r="C915" s="1" t="s">
        <v>15</v>
      </c>
      <c r="D915" s="1" t="s">
        <v>42</v>
      </c>
      <c r="E915" s="1" t="s">
        <v>43</v>
      </c>
      <c r="F915">
        <v>6000</v>
      </c>
      <c r="G915">
        <v>65</v>
      </c>
      <c r="H915" s="1" t="s">
        <v>13</v>
      </c>
      <c r="I915" s="1" t="s">
        <v>14</v>
      </c>
      <c r="J915">
        <v>3</v>
      </c>
      <c r="K915" t="s">
        <v>49</v>
      </c>
      <c r="L915" t="s">
        <v>59</v>
      </c>
      <c r="M915" t="s">
        <v>52</v>
      </c>
    </row>
    <row r="916" spans="1:13" x14ac:dyDescent="0.35">
      <c r="A916">
        <v>930</v>
      </c>
      <c r="B916">
        <v>60</v>
      </c>
      <c r="C916" s="1" t="s">
        <v>10</v>
      </c>
      <c r="D916" s="1" t="s">
        <v>44</v>
      </c>
      <c r="E916" s="1" t="s">
        <v>45</v>
      </c>
      <c r="F916">
        <v>4000</v>
      </c>
      <c r="G916">
        <v>66</v>
      </c>
      <c r="H916" s="1" t="s">
        <v>13</v>
      </c>
      <c r="I916" s="1" t="s">
        <v>19</v>
      </c>
      <c r="J916">
        <v>4</v>
      </c>
      <c r="K916" t="s">
        <v>49</v>
      </c>
      <c r="L916" t="s">
        <v>59</v>
      </c>
      <c r="M916" t="s">
        <v>51</v>
      </c>
    </row>
    <row r="917" spans="1:13" x14ac:dyDescent="0.35">
      <c r="A917">
        <v>931</v>
      </c>
      <c r="B917">
        <v>48</v>
      </c>
      <c r="C917" s="1" t="s">
        <v>10</v>
      </c>
      <c r="D917" s="1" t="s">
        <v>11</v>
      </c>
      <c r="E917" s="1" t="s">
        <v>12</v>
      </c>
      <c r="F917">
        <v>15000</v>
      </c>
      <c r="G917">
        <v>67</v>
      </c>
      <c r="H917" s="1" t="s">
        <v>18</v>
      </c>
      <c r="I917" s="1" t="s">
        <v>14</v>
      </c>
      <c r="J917">
        <v>4</v>
      </c>
      <c r="K917" t="s">
        <v>49</v>
      </c>
      <c r="L917" t="s">
        <v>59</v>
      </c>
      <c r="M917" t="s">
        <v>51</v>
      </c>
    </row>
    <row r="918" spans="1:13" x14ac:dyDescent="0.35">
      <c r="A918">
        <v>932</v>
      </c>
      <c r="B918">
        <v>65</v>
      </c>
      <c r="C918" s="1" t="s">
        <v>15</v>
      </c>
      <c r="D918" s="1" t="s">
        <v>16</v>
      </c>
      <c r="E918" s="1" t="s">
        <v>17</v>
      </c>
      <c r="F918">
        <v>2000</v>
      </c>
      <c r="G918">
        <v>65</v>
      </c>
      <c r="H918" s="1" t="s">
        <v>13</v>
      </c>
      <c r="I918" s="1" t="s">
        <v>19</v>
      </c>
      <c r="J918">
        <v>3</v>
      </c>
      <c r="K918" t="s">
        <v>55</v>
      </c>
      <c r="L918" t="s">
        <v>59</v>
      </c>
      <c r="M918" t="s">
        <v>52</v>
      </c>
    </row>
    <row r="919" spans="1:13" x14ac:dyDescent="0.35">
      <c r="A919">
        <v>933</v>
      </c>
      <c r="B919">
        <v>30</v>
      </c>
      <c r="C919" s="1" t="s">
        <v>10</v>
      </c>
      <c r="D919" s="1" t="s">
        <v>20</v>
      </c>
      <c r="E919" s="1" t="s">
        <v>21</v>
      </c>
      <c r="F919">
        <v>500</v>
      </c>
      <c r="G919">
        <v>63</v>
      </c>
      <c r="H919" s="1" t="s">
        <v>13</v>
      </c>
      <c r="I919" s="1" t="s">
        <v>14</v>
      </c>
      <c r="J919">
        <v>5</v>
      </c>
      <c r="K919" t="s">
        <v>53</v>
      </c>
      <c r="L919" t="s">
        <v>59</v>
      </c>
      <c r="M919" t="s">
        <v>51</v>
      </c>
    </row>
    <row r="920" spans="1:13" x14ac:dyDescent="0.35">
      <c r="A920">
        <v>934</v>
      </c>
      <c r="B920">
        <v>70</v>
      </c>
      <c r="C920" s="1" t="s">
        <v>15</v>
      </c>
      <c r="D920" s="1" t="s">
        <v>22</v>
      </c>
      <c r="E920" s="1" t="s">
        <v>23</v>
      </c>
      <c r="F920">
        <v>10000</v>
      </c>
      <c r="G920">
        <v>70</v>
      </c>
      <c r="H920" s="1" t="s">
        <v>18</v>
      </c>
      <c r="I920" s="1" t="s">
        <v>19</v>
      </c>
      <c r="J920">
        <v>2</v>
      </c>
      <c r="K920" t="s">
        <v>55</v>
      </c>
      <c r="L920" t="s">
        <v>59</v>
      </c>
      <c r="M920" t="s">
        <v>57</v>
      </c>
    </row>
    <row r="921" spans="1:13" x14ac:dyDescent="0.35">
      <c r="A921">
        <v>935</v>
      </c>
      <c r="B921">
        <v>55</v>
      </c>
      <c r="C921" s="1" t="s">
        <v>10</v>
      </c>
      <c r="D921" s="1" t="s">
        <v>24</v>
      </c>
      <c r="E921" s="1" t="s">
        <v>25</v>
      </c>
      <c r="F921">
        <v>25000</v>
      </c>
      <c r="G921">
        <v>72</v>
      </c>
      <c r="H921" s="1" t="s">
        <v>13</v>
      </c>
      <c r="I921" s="1" t="s">
        <v>14</v>
      </c>
      <c r="J921">
        <v>4</v>
      </c>
      <c r="K921" t="s">
        <v>49</v>
      </c>
      <c r="L921" t="s">
        <v>59</v>
      </c>
      <c r="M921" t="s">
        <v>51</v>
      </c>
    </row>
    <row r="922" spans="1:13" x14ac:dyDescent="0.35">
      <c r="A922">
        <v>936</v>
      </c>
      <c r="B922">
        <v>68</v>
      </c>
      <c r="C922" s="1" t="s">
        <v>15</v>
      </c>
      <c r="D922" s="1" t="s">
        <v>26</v>
      </c>
      <c r="E922" s="1" t="s">
        <v>27</v>
      </c>
      <c r="F922">
        <v>1000</v>
      </c>
      <c r="G922">
        <v>66</v>
      </c>
      <c r="H922" s="1" t="s">
        <v>13</v>
      </c>
      <c r="I922" s="1" t="s">
        <v>19</v>
      </c>
      <c r="J922">
        <v>4</v>
      </c>
      <c r="K922" t="s">
        <v>55</v>
      </c>
      <c r="L922" t="s">
        <v>59</v>
      </c>
      <c r="M922" t="s">
        <v>51</v>
      </c>
    </row>
    <row r="923" spans="1:13" x14ac:dyDescent="0.35">
      <c r="A923">
        <v>937</v>
      </c>
      <c r="B923">
        <v>45</v>
      </c>
      <c r="C923" s="1" t="s">
        <v>10</v>
      </c>
      <c r="D923" s="1" t="s">
        <v>28</v>
      </c>
      <c r="E923" s="1" t="s">
        <v>29</v>
      </c>
      <c r="F923">
        <v>8000</v>
      </c>
      <c r="G923">
        <v>68</v>
      </c>
      <c r="H923" s="1" t="s">
        <v>13</v>
      </c>
      <c r="I923" s="1" t="s">
        <v>14</v>
      </c>
      <c r="J923">
        <v>3</v>
      </c>
      <c r="K923" t="s">
        <v>49</v>
      </c>
      <c r="L923" t="s">
        <v>59</v>
      </c>
      <c r="M923" t="s">
        <v>52</v>
      </c>
    </row>
    <row r="924" spans="1:13" x14ac:dyDescent="0.35">
      <c r="A924">
        <v>938</v>
      </c>
      <c r="B924">
        <v>40</v>
      </c>
      <c r="C924" s="1" t="s">
        <v>15</v>
      </c>
      <c r="D924" s="1" t="s">
        <v>30</v>
      </c>
      <c r="E924" s="1" t="s">
        <v>31</v>
      </c>
      <c r="F924">
        <v>3000</v>
      </c>
      <c r="G924">
        <v>68</v>
      </c>
      <c r="H924" s="1" t="s">
        <v>13</v>
      </c>
      <c r="I924" s="1" t="s">
        <v>14</v>
      </c>
      <c r="J924">
        <v>4</v>
      </c>
      <c r="K924" t="s">
        <v>49</v>
      </c>
      <c r="L924" t="s">
        <v>59</v>
      </c>
      <c r="M924" t="s">
        <v>51</v>
      </c>
    </row>
    <row r="925" spans="1:13" x14ac:dyDescent="0.35">
      <c r="A925">
        <v>939</v>
      </c>
      <c r="B925">
        <v>78</v>
      </c>
      <c r="C925" s="1" t="s">
        <v>10</v>
      </c>
      <c r="D925" s="1" t="s">
        <v>32</v>
      </c>
      <c r="E925" s="1" t="s">
        <v>33</v>
      </c>
      <c r="F925">
        <v>18000</v>
      </c>
      <c r="G925">
        <v>70</v>
      </c>
      <c r="H925" s="1" t="s">
        <v>18</v>
      </c>
      <c r="I925" s="1" t="s">
        <v>19</v>
      </c>
      <c r="J925">
        <v>2</v>
      </c>
      <c r="K925" t="s">
        <v>55</v>
      </c>
      <c r="L925" t="s">
        <v>59</v>
      </c>
      <c r="M925" t="s">
        <v>57</v>
      </c>
    </row>
    <row r="926" spans="1:13" x14ac:dyDescent="0.35">
      <c r="A926">
        <v>940</v>
      </c>
      <c r="B926">
        <v>25</v>
      </c>
      <c r="C926" s="1" t="s">
        <v>15</v>
      </c>
      <c r="D926" s="1" t="s">
        <v>34</v>
      </c>
      <c r="E926" s="1" t="s">
        <v>35</v>
      </c>
      <c r="F926">
        <v>100</v>
      </c>
      <c r="G926">
        <v>63</v>
      </c>
      <c r="H926" s="1" t="s">
        <v>13</v>
      </c>
      <c r="I926" s="1" t="s">
        <v>14</v>
      </c>
      <c r="J926">
        <v>5</v>
      </c>
      <c r="K926" t="s">
        <v>53</v>
      </c>
      <c r="L926" t="s">
        <v>59</v>
      </c>
      <c r="M926" t="s">
        <v>51</v>
      </c>
    </row>
    <row r="927" spans="1:13" x14ac:dyDescent="0.35">
      <c r="A927">
        <v>941</v>
      </c>
      <c r="B927">
        <v>52</v>
      </c>
      <c r="C927" s="1" t="s">
        <v>10</v>
      </c>
      <c r="D927" s="1" t="s">
        <v>36</v>
      </c>
      <c r="E927" s="1" t="s">
        <v>37</v>
      </c>
      <c r="F927">
        <v>800</v>
      </c>
      <c r="G927">
        <v>64</v>
      </c>
      <c r="H927" s="1" t="s">
        <v>13</v>
      </c>
      <c r="I927" s="1" t="s">
        <v>19</v>
      </c>
      <c r="J927">
        <v>4</v>
      </c>
      <c r="K927" t="s">
        <v>49</v>
      </c>
      <c r="L927" t="s">
        <v>59</v>
      </c>
      <c r="M927" t="s">
        <v>51</v>
      </c>
    </row>
    <row r="928" spans="1:13" x14ac:dyDescent="0.35">
      <c r="A928">
        <v>942</v>
      </c>
      <c r="B928">
        <v>58</v>
      </c>
      <c r="C928" s="1" t="s">
        <v>15</v>
      </c>
      <c r="D928" s="1" t="s">
        <v>38</v>
      </c>
      <c r="E928" s="1" t="s">
        <v>39</v>
      </c>
      <c r="F928">
        <v>20000</v>
      </c>
      <c r="G928">
        <v>71</v>
      </c>
      <c r="H928" s="1" t="s">
        <v>13</v>
      </c>
      <c r="I928" s="1" t="s">
        <v>14</v>
      </c>
      <c r="J928">
        <v>3</v>
      </c>
      <c r="K928" t="s">
        <v>49</v>
      </c>
      <c r="L928" t="s">
        <v>59</v>
      </c>
      <c r="M928" t="s">
        <v>52</v>
      </c>
    </row>
    <row r="929" spans="1:13" x14ac:dyDescent="0.35">
      <c r="A929">
        <v>943</v>
      </c>
      <c r="B929">
        <v>32</v>
      </c>
      <c r="C929" s="1" t="s">
        <v>10</v>
      </c>
      <c r="D929" s="1" t="s">
        <v>40</v>
      </c>
      <c r="E929" s="1" t="s">
        <v>41</v>
      </c>
      <c r="F929">
        <v>12000</v>
      </c>
      <c r="G929">
        <v>65</v>
      </c>
      <c r="H929" s="1" t="s">
        <v>13</v>
      </c>
      <c r="I929" s="1" t="s">
        <v>14</v>
      </c>
      <c r="J929">
        <v>4</v>
      </c>
      <c r="K929" t="s">
        <v>53</v>
      </c>
      <c r="L929" t="s">
        <v>59</v>
      </c>
      <c r="M929" t="s">
        <v>51</v>
      </c>
    </row>
    <row r="930" spans="1:13" x14ac:dyDescent="0.35">
      <c r="A930">
        <v>944</v>
      </c>
      <c r="B930">
        <v>55</v>
      </c>
      <c r="C930" s="1" t="s">
        <v>15</v>
      </c>
      <c r="D930" s="1" t="s">
        <v>42</v>
      </c>
      <c r="E930" s="1" t="s">
        <v>43</v>
      </c>
      <c r="F930">
        <v>6000</v>
      </c>
      <c r="G930">
        <v>66</v>
      </c>
      <c r="H930" s="1" t="s">
        <v>13</v>
      </c>
      <c r="I930" s="1" t="s">
        <v>14</v>
      </c>
      <c r="J930">
        <v>3</v>
      </c>
      <c r="K930" t="s">
        <v>49</v>
      </c>
      <c r="L930" t="s">
        <v>59</v>
      </c>
      <c r="M930" t="s">
        <v>52</v>
      </c>
    </row>
    <row r="931" spans="1:13" x14ac:dyDescent="0.35">
      <c r="A931">
        <v>945</v>
      </c>
      <c r="B931">
        <v>65</v>
      </c>
      <c r="C931" s="1" t="s">
        <v>10</v>
      </c>
      <c r="D931" s="1" t="s">
        <v>44</v>
      </c>
      <c r="E931" s="1" t="s">
        <v>45</v>
      </c>
      <c r="F931">
        <v>4000</v>
      </c>
      <c r="G931">
        <v>67</v>
      </c>
      <c r="H931" s="1" t="s">
        <v>13</v>
      </c>
      <c r="I931" s="1" t="s">
        <v>19</v>
      </c>
      <c r="J931">
        <v>4</v>
      </c>
      <c r="K931" t="s">
        <v>55</v>
      </c>
      <c r="L931" t="s">
        <v>59</v>
      </c>
      <c r="M931" t="s">
        <v>51</v>
      </c>
    </row>
    <row r="932" spans="1:13" x14ac:dyDescent="0.35">
      <c r="A932">
        <v>946</v>
      </c>
      <c r="B932">
        <v>55</v>
      </c>
      <c r="C932" s="1" t="s">
        <v>10</v>
      </c>
      <c r="D932" s="1" t="s">
        <v>11</v>
      </c>
      <c r="E932" s="1" t="s">
        <v>12</v>
      </c>
      <c r="F932">
        <v>15000</v>
      </c>
      <c r="G932">
        <v>68</v>
      </c>
      <c r="H932" s="1" t="s">
        <v>18</v>
      </c>
      <c r="I932" s="1" t="s">
        <v>14</v>
      </c>
      <c r="J932">
        <v>3</v>
      </c>
      <c r="K932" t="s">
        <v>49</v>
      </c>
      <c r="L932" t="s">
        <v>59</v>
      </c>
      <c r="M932" t="s">
        <v>52</v>
      </c>
    </row>
    <row r="933" spans="1:13" x14ac:dyDescent="0.35">
      <c r="A933">
        <v>947</v>
      </c>
      <c r="B933">
        <v>62</v>
      </c>
      <c r="C933" s="1" t="s">
        <v>15</v>
      </c>
      <c r="D933" s="1" t="s">
        <v>16</v>
      </c>
      <c r="E933" s="1" t="s">
        <v>17</v>
      </c>
      <c r="F933">
        <v>2000</v>
      </c>
      <c r="G933">
        <v>66</v>
      </c>
      <c r="H933" s="1" t="s">
        <v>13</v>
      </c>
      <c r="I933" s="1" t="s">
        <v>19</v>
      </c>
      <c r="J933">
        <v>4</v>
      </c>
      <c r="K933" t="s">
        <v>55</v>
      </c>
      <c r="L933" t="s">
        <v>59</v>
      </c>
      <c r="M933" t="s">
        <v>51</v>
      </c>
    </row>
    <row r="934" spans="1:13" x14ac:dyDescent="0.35">
      <c r="A934">
        <v>948</v>
      </c>
      <c r="B934">
        <v>35</v>
      </c>
      <c r="C934" s="1" t="s">
        <v>10</v>
      </c>
      <c r="D934" s="1" t="s">
        <v>20</v>
      </c>
      <c r="E934" s="1" t="s">
        <v>21</v>
      </c>
      <c r="F934">
        <v>500</v>
      </c>
      <c r="G934">
        <v>64</v>
      </c>
      <c r="H934" s="1" t="s">
        <v>18</v>
      </c>
      <c r="I934" s="1" t="s">
        <v>14</v>
      </c>
      <c r="J934">
        <v>5</v>
      </c>
      <c r="K934" t="s">
        <v>53</v>
      </c>
      <c r="L934" t="s">
        <v>59</v>
      </c>
      <c r="M934" t="s">
        <v>51</v>
      </c>
    </row>
    <row r="935" spans="1:13" x14ac:dyDescent="0.35">
      <c r="A935">
        <v>949</v>
      </c>
      <c r="B935">
        <v>78</v>
      </c>
      <c r="C935" s="1" t="s">
        <v>15</v>
      </c>
      <c r="D935" s="1" t="s">
        <v>22</v>
      </c>
      <c r="E935" s="1" t="s">
        <v>23</v>
      </c>
      <c r="F935">
        <v>10000</v>
      </c>
      <c r="G935">
        <v>71</v>
      </c>
      <c r="H935" s="1" t="s">
        <v>13</v>
      </c>
      <c r="I935" s="1" t="s">
        <v>19</v>
      </c>
      <c r="J935">
        <v>2</v>
      </c>
      <c r="K935" t="s">
        <v>55</v>
      </c>
      <c r="L935" t="s">
        <v>59</v>
      </c>
      <c r="M935" t="s">
        <v>57</v>
      </c>
    </row>
    <row r="936" spans="1:13" x14ac:dyDescent="0.35">
      <c r="A936">
        <v>950</v>
      </c>
      <c r="B936">
        <v>53</v>
      </c>
      <c r="C936" s="1" t="s">
        <v>10</v>
      </c>
      <c r="D936" s="1" t="s">
        <v>24</v>
      </c>
      <c r="E936" s="1" t="s">
        <v>25</v>
      </c>
      <c r="F936">
        <v>25000</v>
      </c>
      <c r="G936">
        <v>73</v>
      </c>
      <c r="H936" s="1" t="s">
        <v>18</v>
      </c>
      <c r="I936" s="1" t="s">
        <v>14</v>
      </c>
      <c r="J936">
        <v>4</v>
      </c>
      <c r="K936" t="s">
        <v>49</v>
      </c>
      <c r="L936" t="s">
        <v>59</v>
      </c>
      <c r="M936" t="s">
        <v>51</v>
      </c>
    </row>
    <row r="937" spans="1:13" x14ac:dyDescent="0.35">
      <c r="A937">
        <v>951</v>
      </c>
      <c r="B937">
        <v>72</v>
      </c>
      <c r="C937" s="1" t="s">
        <v>15</v>
      </c>
      <c r="D937" s="1" t="s">
        <v>26</v>
      </c>
      <c r="E937" s="1" t="s">
        <v>27</v>
      </c>
      <c r="F937">
        <v>1000</v>
      </c>
      <c r="G937">
        <v>67</v>
      </c>
      <c r="H937" s="1" t="s">
        <v>13</v>
      </c>
      <c r="I937" s="1" t="s">
        <v>19</v>
      </c>
      <c r="J937">
        <v>4</v>
      </c>
      <c r="K937" t="s">
        <v>55</v>
      </c>
      <c r="L937" t="s">
        <v>59</v>
      </c>
      <c r="M937" t="s">
        <v>51</v>
      </c>
    </row>
    <row r="938" spans="1:13" x14ac:dyDescent="0.35">
      <c r="A938">
        <v>952</v>
      </c>
      <c r="B938">
        <v>60</v>
      </c>
      <c r="C938" s="1" t="s">
        <v>10</v>
      </c>
      <c r="D938" s="1" t="s">
        <v>28</v>
      </c>
      <c r="E938" s="1" t="s">
        <v>29</v>
      </c>
      <c r="F938">
        <v>8000</v>
      </c>
      <c r="G938">
        <v>69</v>
      </c>
      <c r="H938" s="1" t="s">
        <v>18</v>
      </c>
      <c r="I938" s="1" t="s">
        <v>14</v>
      </c>
      <c r="J938">
        <v>3</v>
      </c>
      <c r="K938" t="s">
        <v>49</v>
      </c>
      <c r="L938" t="s">
        <v>59</v>
      </c>
      <c r="M938" t="s">
        <v>52</v>
      </c>
    </row>
    <row r="939" spans="1:13" x14ac:dyDescent="0.35">
      <c r="A939">
        <v>953</v>
      </c>
      <c r="B939">
        <v>45</v>
      </c>
      <c r="C939" s="1" t="s">
        <v>15</v>
      </c>
      <c r="D939" s="1" t="s">
        <v>30</v>
      </c>
      <c r="E939" s="1" t="s">
        <v>31</v>
      </c>
      <c r="F939">
        <v>3000</v>
      </c>
      <c r="G939">
        <v>69</v>
      </c>
      <c r="H939" s="1" t="s">
        <v>13</v>
      </c>
      <c r="I939" s="1" t="s">
        <v>14</v>
      </c>
      <c r="J939">
        <v>4</v>
      </c>
      <c r="K939" t="s">
        <v>49</v>
      </c>
      <c r="L939" t="s">
        <v>59</v>
      </c>
      <c r="M939" t="s">
        <v>51</v>
      </c>
    </row>
    <row r="940" spans="1:13" x14ac:dyDescent="0.35">
      <c r="A940">
        <v>954</v>
      </c>
      <c r="B940">
        <v>75</v>
      </c>
      <c r="C940" s="1" t="s">
        <v>10</v>
      </c>
      <c r="D940" s="1" t="s">
        <v>32</v>
      </c>
      <c r="E940" s="1" t="s">
        <v>33</v>
      </c>
      <c r="F940">
        <v>18000</v>
      </c>
      <c r="G940">
        <v>71</v>
      </c>
      <c r="H940" s="1" t="s">
        <v>18</v>
      </c>
      <c r="I940" s="1" t="s">
        <v>19</v>
      </c>
      <c r="J940">
        <v>2</v>
      </c>
      <c r="K940" t="s">
        <v>55</v>
      </c>
      <c r="L940" t="s">
        <v>59</v>
      </c>
      <c r="M940" t="s">
        <v>57</v>
      </c>
    </row>
    <row r="941" spans="1:13" x14ac:dyDescent="0.35">
      <c r="A941">
        <v>955</v>
      </c>
      <c r="B941">
        <v>28</v>
      </c>
      <c r="C941" s="1" t="s">
        <v>15</v>
      </c>
      <c r="D941" s="1" t="s">
        <v>34</v>
      </c>
      <c r="E941" s="1" t="s">
        <v>35</v>
      </c>
      <c r="F941">
        <v>100</v>
      </c>
      <c r="G941">
        <v>64</v>
      </c>
      <c r="H941" s="1" t="s">
        <v>13</v>
      </c>
      <c r="I941" s="1" t="s">
        <v>14</v>
      </c>
      <c r="J941">
        <v>5</v>
      </c>
      <c r="K941" t="s">
        <v>53</v>
      </c>
      <c r="L941" t="s">
        <v>59</v>
      </c>
      <c r="M941" t="s">
        <v>51</v>
      </c>
    </row>
    <row r="942" spans="1:13" x14ac:dyDescent="0.35">
      <c r="A942">
        <v>956</v>
      </c>
      <c r="B942">
        <v>52</v>
      </c>
      <c r="C942" s="1" t="s">
        <v>10</v>
      </c>
      <c r="D942" s="1" t="s">
        <v>36</v>
      </c>
      <c r="E942" s="1" t="s">
        <v>37</v>
      </c>
      <c r="F942">
        <v>800</v>
      </c>
      <c r="G942">
        <v>65</v>
      </c>
      <c r="H942" s="1" t="s">
        <v>13</v>
      </c>
      <c r="I942" s="1" t="s">
        <v>19</v>
      </c>
      <c r="J942">
        <v>4</v>
      </c>
      <c r="K942" t="s">
        <v>49</v>
      </c>
      <c r="L942" t="s">
        <v>59</v>
      </c>
      <c r="M942" t="s">
        <v>51</v>
      </c>
    </row>
    <row r="943" spans="1:13" x14ac:dyDescent="0.35">
      <c r="A943">
        <v>957</v>
      </c>
      <c r="B943">
        <v>67</v>
      </c>
      <c r="C943" s="1" t="s">
        <v>15</v>
      </c>
      <c r="D943" s="1" t="s">
        <v>38</v>
      </c>
      <c r="E943" s="1" t="s">
        <v>39</v>
      </c>
      <c r="F943">
        <v>20000</v>
      </c>
      <c r="G943">
        <v>72</v>
      </c>
      <c r="H943" s="1" t="s">
        <v>13</v>
      </c>
      <c r="I943" s="1" t="s">
        <v>14</v>
      </c>
      <c r="J943">
        <v>3</v>
      </c>
      <c r="K943" t="s">
        <v>55</v>
      </c>
      <c r="L943" t="s">
        <v>59</v>
      </c>
      <c r="M943" t="s">
        <v>52</v>
      </c>
    </row>
    <row r="944" spans="1:13" x14ac:dyDescent="0.35">
      <c r="A944">
        <v>958</v>
      </c>
      <c r="B944">
        <v>35</v>
      </c>
      <c r="C944" s="1" t="s">
        <v>10</v>
      </c>
      <c r="D944" s="1" t="s">
        <v>40</v>
      </c>
      <c r="E944" s="1" t="s">
        <v>41</v>
      </c>
      <c r="F944">
        <v>12000</v>
      </c>
      <c r="G944">
        <v>66</v>
      </c>
      <c r="H944" s="1" t="s">
        <v>13</v>
      </c>
      <c r="I944" s="1" t="s">
        <v>14</v>
      </c>
      <c r="J944">
        <v>4</v>
      </c>
      <c r="K944" t="s">
        <v>53</v>
      </c>
      <c r="L944" t="s">
        <v>59</v>
      </c>
      <c r="M944" t="s">
        <v>51</v>
      </c>
    </row>
    <row r="945" spans="1:13" x14ac:dyDescent="0.35">
      <c r="A945">
        <v>959</v>
      </c>
      <c r="B945">
        <v>50</v>
      </c>
      <c r="C945" s="1" t="s">
        <v>15</v>
      </c>
      <c r="D945" s="1" t="s">
        <v>42</v>
      </c>
      <c r="E945" s="1" t="s">
        <v>43</v>
      </c>
      <c r="F945">
        <v>6000</v>
      </c>
      <c r="G945">
        <v>67</v>
      </c>
      <c r="H945" s="1" t="s">
        <v>13</v>
      </c>
      <c r="I945" s="1" t="s">
        <v>14</v>
      </c>
      <c r="J945">
        <v>3</v>
      </c>
      <c r="K945" t="s">
        <v>49</v>
      </c>
      <c r="L945" t="s">
        <v>59</v>
      </c>
      <c r="M945" t="s">
        <v>52</v>
      </c>
    </row>
    <row r="946" spans="1:13" x14ac:dyDescent="0.35">
      <c r="A946">
        <v>960</v>
      </c>
      <c r="B946">
        <v>60</v>
      </c>
      <c r="C946" s="1" t="s">
        <v>10</v>
      </c>
      <c r="D946" s="1" t="s">
        <v>44</v>
      </c>
      <c r="E946" s="1" t="s">
        <v>45</v>
      </c>
      <c r="F946">
        <v>4000</v>
      </c>
      <c r="G946">
        <v>68</v>
      </c>
      <c r="H946" s="1" t="s">
        <v>13</v>
      </c>
      <c r="I946" s="1" t="s">
        <v>19</v>
      </c>
      <c r="J946">
        <v>4</v>
      </c>
      <c r="K946" t="s">
        <v>49</v>
      </c>
      <c r="L946" t="s">
        <v>59</v>
      </c>
      <c r="M946" t="s">
        <v>51</v>
      </c>
    </row>
    <row r="947" spans="1:13" x14ac:dyDescent="0.35">
      <c r="A947">
        <v>961</v>
      </c>
      <c r="B947">
        <v>48</v>
      </c>
      <c r="C947" s="1" t="s">
        <v>10</v>
      </c>
      <c r="D947" s="1" t="s">
        <v>11</v>
      </c>
      <c r="E947" s="1" t="s">
        <v>12</v>
      </c>
      <c r="F947">
        <v>15000</v>
      </c>
      <c r="G947">
        <v>69</v>
      </c>
      <c r="H947" s="1" t="s">
        <v>18</v>
      </c>
      <c r="I947" s="1" t="s">
        <v>14</v>
      </c>
      <c r="J947">
        <v>4</v>
      </c>
      <c r="K947" t="s">
        <v>49</v>
      </c>
      <c r="L947" t="s">
        <v>59</v>
      </c>
      <c r="M947" t="s">
        <v>51</v>
      </c>
    </row>
    <row r="948" spans="1:13" x14ac:dyDescent="0.35">
      <c r="A948">
        <v>962</v>
      </c>
      <c r="B948">
        <v>65</v>
      </c>
      <c r="C948" s="1" t="s">
        <v>15</v>
      </c>
      <c r="D948" s="1" t="s">
        <v>16</v>
      </c>
      <c r="E948" s="1" t="s">
        <v>17</v>
      </c>
      <c r="F948">
        <v>2000</v>
      </c>
      <c r="G948">
        <v>67</v>
      </c>
      <c r="H948" s="1" t="s">
        <v>13</v>
      </c>
      <c r="I948" s="1" t="s">
        <v>19</v>
      </c>
      <c r="J948">
        <v>3</v>
      </c>
      <c r="K948" t="s">
        <v>55</v>
      </c>
      <c r="L948" t="s">
        <v>59</v>
      </c>
      <c r="M948" t="s">
        <v>52</v>
      </c>
    </row>
    <row r="949" spans="1:13" x14ac:dyDescent="0.35">
      <c r="A949">
        <v>963</v>
      </c>
      <c r="B949">
        <v>30</v>
      </c>
      <c r="C949" s="1" t="s">
        <v>10</v>
      </c>
      <c r="D949" s="1" t="s">
        <v>20</v>
      </c>
      <c r="E949" s="1" t="s">
        <v>21</v>
      </c>
      <c r="F949">
        <v>500</v>
      </c>
      <c r="G949">
        <v>65</v>
      </c>
      <c r="H949" s="1" t="s">
        <v>13</v>
      </c>
      <c r="I949" s="1" t="s">
        <v>14</v>
      </c>
      <c r="J949">
        <v>5</v>
      </c>
      <c r="K949" t="s">
        <v>53</v>
      </c>
      <c r="L949" t="s">
        <v>59</v>
      </c>
      <c r="M949" t="s">
        <v>51</v>
      </c>
    </row>
    <row r="950" spans="1:13" x14ac:dyDescent="0.35">
      <c r="A950">
        <v>964</v>
      </c>
      <c r="B950">
        <v>70</v>
      </c>
      <c r="C950" s="1" t="s">
        <v>15</v>
      </c>
      <c r="D950" s="1" t="s">
        <v>22</v>
      </c>
      <c r="E950" s="1" t="s">
        <v>23</v>
      </c>
      <c r="F950">
        <v>10000</v>
      </c>
      <c r="G950">
        <v>72</v>
      </c>
      <c r="H950" s="1" t="s">
        <v>18</v>
      </c>
      <c r="I950" s="1" t="s">
        <v>19</v>
      </c>
      <c r="J950">
        <v>2</v>
      </c>
      <c r="K950" t="s">
        <v>55</v>
      </c>
      <c r="L950" t="s">
        <v>59</v>
      </c>
      <c r="M950" t="s">
        <v>57</v>
      </c>
    </row>
    <row r="951" spans="1:13" x14ac:dyDescent="0.35">
      <c r="A951">
        <v>965</v>
      </c>
      <c r="B951">
        <v>55</v>
      </c>
      <c r="C951" s="1" t="s">
        <v>10</v>
      </c>
      <c r="D951" s="1" t="s">
        <v>24</v>
      </c>
      <c r="E951" s="1" t="s">
        <v>25</v>
      </c>
      <c r="F951">
        <v>25000</v>
      </c>
      <c r="G951">
        <v>74</v>
      </c>
      <c r="H951" s="1" t="s">
        <v>13</v>
      </c>
      <c r="I951" s="1" t="s">
        <v>14</v>
      </c>
      <c r="J951">
        <v>4</v>
      </c>
      <c r="K951" t="s">
        <v>49</v>
      </c>
      <c r="L951" t="s">
        <v>59</v>
      </c>
      <c r="M951" t="s">
        <v>51</v>
      </c>
    </row>
    <row r="952" spans="1:13" x14ac:dyDescent="0.35">
      <c r="A952">
        <v>966</v>
      </c>
      <c r="B952">
        <v>68</v>
      </c>
      <c r="C952" s="1" t="s">
        <v>15</v>
      </c>
      <c r="D952" s="1" t="s">
        <v>26</v>
      </c>
      <c r="E952" s="1" t="s">
        <v>27</v>
      </c>
      <c r="F952">
        <v>1000</v>
      </c>
      <c r="G952">
        <v>68</v>
      </c>
      <c r="H952" s="1" t="s">
        <v>13</v>
      </c>
      <c r="I952" s="1" t="s">
        <v>19</v>
      </c>
      <c r="J952">
        <v>4</v>
      </c>
      <c r="K952" t="s">
        <v>55</v>
      </c>
      <c r="L952" t="s">
        <v>59</v>
      </c>
      <c r="M952" t="s">
        <v>51</v>
      </c>
    </row>
    <row r="953" spans="1:13" x14ac:dyDescent="0.35">
      <c r="A953">
        <v>968</v>
      </c>
      <c r="B953">
        <v>40</v>
      </c>
      <c r="C953" s="1" t="s">
        <v>15</v>
      </c>
      <c r="D953" s="1" t="s">
        <v>30</v>
      </c>
      <c r="E953" s="1" t="s">
        <v>31</v>
      </c>
      <c r="F953">
        <v>3000</v>
      </c>
      <c r="G953">
        <v>70</v>
      </c>
      <c r="H953" s="1" t="s">
        <v>13</v>
      </c>
      <c r="I953" s="1" t="s">
        <v>14</v>
      </c>
      <c r="J953">
        <v>4</v>
      </c>
      <c r="K953" t="s">
        <v>49</v>
      </c>
      <c r="L953" t="s">
        <v>59</v>
      </c>
      <c r="M953" t="s">
        <v>51</v>
      </c>
    </row>
    <row r="954" spans="1:13" x14ac:dyDescent="0.35">
      <c r="A954">
        <v>969</v>
      </c>
      <c r="B954">
        <v>78</v>
      </c>
      <c r="C954" s="1" t="s">
        <v>10</v>
      </c>
      <c r="D954" s="1" t="s">
        <v>32</v>
      </c>
      <c r="E954" s="1" t="s">
        <v>33</v>
      </c>
      <c r="F954">
        <v>18000</v>
      </c>
      <c r="G954">
        <v>72</v>
      </c>
      <c r="H954" s="1" t="s">
        <v>18</v>
      </c>
      <c r="I954" s="1" t="s">
        <v>19</v>
      </c>
      <c r="J954">
        <v>2</v>
      </c>
      <c r="K954" t="s">
        <v>55</v>
      </c>
      <c r="L954" t="s">
        <v>59</v>
      </c>
      <c r="M954" t="s">
        <v>57</v>
      </c>
    </row>
    <row r="955" spans="1:13" x14ac:dyDescent="0.35">
      <c r="A955">
        <v>970</v>
      </c>
      <c r="B955">
        <v>25</v>
      </c>
      <c r="C955" s="1" t="s">
        <v>15</v>
      </c>
      <c r="D955" s="1" t="s">
        <v>34</v>
      </c>
      <c r="E955" s="1" t="s">
        <v>35</v>
      </c>
      <c r="F955">
        <v>100</v>
      </c>
      <c r="G955">
        <v>65</v>
      </c>
      <c r="H955" s="1" t="s">
        <v>13</v>
      </c>
      <c r="I955" s="1" t="s">
        <v>14</v>
      </c>
      <c r="J955">
        <v>5</v>
      </c>
      <c r="K955" t="s">
        <v>53</v>
      </c>
      <c r="L955" t="s">
        <v>59</v>
      </c>
      <c r="M955" t="s">
        <v>51</v>
      </c>
    </row>
    <row r="956" spans="1:13" x14ac:dyDescent="0.35">
      <c r="A956">
        <v>971</v>
      </c>
      <c r="B956">
        <v>52</v>
      </c>
      <c r="C956" s="1" t="s">
        <v>10</v>
      </c>
      <c r="D956" s="1" t="s">
        <v>36</v>
      </c>
      <c r="E956" s="1" t="s">
        <v>37</v>
      </c>
      <c r="F956">
        <v>800</v>
      </c>
      <c r="G956">
        <v>66</v>
      </c>
      <c r="H956" s="1" t="s">
        <v>13</v>
      </c>
      <c r="I956" s="1" t="s">
        <v>19</v>
      </c>
      <c r="J956">
        <v>4</v>
      </c>
      <c r="K956" t="s">
        <v>49</v>
      </c>
      <c r="L956" t="s">
        <v>59</v>
      </c>
      <c r="M956" t="s">
        <v>51</v>
      </c>
    </row>
    <row r="957" spans="1:13" x14ac:dyDescent="0.35">
      <c r="A957">
        <v>972</v>
      </c>
      <c r="B957">
        <v>58</v>
      </c>
      <c r="C957" s="1" t="s">
        <v>15</v>
      </c>
      <c r="D957" s="1" t="s">
        <v>38</v>
      </c>
      <c r="E957" s="1" t="s">
        <v>39</v>
      </c>
      <c r="F957">
        <v>20000</v>
      </c>
      <c r="G957">
        <v>73</v>
      </c>
      <c r="H957" s="1" t="s">
        <v>13</v>
      </c>
      <c r="I957" s="1" t="s">
        <v>14</v>
      </c>
      <c r="J957">
        <v>3</v>
      </c>
      <c r="K957" t="s">
        <v>49</v>
      </c>
      <c r="L957" t="s">
        <v>59</v>
      </c>
      <c r="M957" t="s">
        <v>52</v>
      </c>
    </row>
    <row r="958" spans="1:13" x14ac:dyDescent="0.35">
      <c r="A958">
        <v>973</v>
      </c>
      <c r="B958">
        <v>32</v>
      </c>
      <c r="C958" s="1" t="s">
        <v>10</v>
      </c>
      <c r="D958" s="1" t="s">
        <v>40</v>
      </c>
      <c r="E958" s="1" t="s">
        <v>41</v>
      </c>
      <c r="F958">
        <v>12000</v>
      </c>
      <c r="G958">
        <v>67</v>
      </c>
      <c r="H958" s="1" t="s">
        <v>13</v>
      </c>
      <c r="I958" s="1" t="s">
        <v>14</v>
      </c>
      <c r="J958">
        <v>4</v>
      </c>
      <c r="K958" t="s">
        <v>53</v>
      </c>
      <c r="L958" t="s">
        <v>59</v>
      </c>
      <c r="M958" t="s">
        <v>51</v>
      </c>
    </row>
    <row r="959" spans="1:13" x14ac:dyDescent="0.35">
      <c r="A959">
        <v>974</v>
      </c>
      <c r="B959">
        <v>55</v>
      </c>
      <c r="C959" s="1" t="s">
        <v>15</v>
      </c>
      <c r="D959" s="1" t="s">
        <v>42</v>
      </c>
      <c r="E959" s="1" t="s">
        <v>43</v>
      </c>
      <c r="F959">
        <v>6000</v>
      </c>
      <c r="G959">
        <v>68</v>
      </c>
      <c r="H959" s="1" t="s">
        <v>13</v>
      </c>
      <c r="I959" s="1" t="s">
        <v>14</v>
      </c>
      <c r="J959">
        <v>3</v>
      </c>
      <c r="K959" t="s">
        <v>49</v>
      </c>
      <c r="L959" t="s">
        <v>59</v>
      </c>
      <c r="M959" t="s">
        <v>52</v>
      </c>
    </row>
    <row r="960" spans="1:13" x14ac:dyDescent="0.35">
      <c r="A960">
        <v>975</v>
      </c>
      <c r="B960">
        <v>65</v>
      </c>
      <c r="C960" s="1" t="s">
        <v>10</v>
      </c>
      <c r="D960" s="1" t="s">
        <v>44</v>
      </c>
      <c r="E960" s="1" t="s">
        <v>45</v>
      </c>
      <c r="F960">
        <v>4000</v>
      </c>
      <c r="G960">
        <v>69</v>
      </c>
      <c r="H960" s="1" t="s">
        <v>13</v>
      </c>
      <c r="I960" s="1" t="s">
        <v>19</v>
      </c>
      <c r="J960">
        <v>4</v>
      </c>
      <c r="K960" t="s">
        <v>55</v>
      </c>
      <c r="L960" t="s">
        <v>59</v>
      </c>
      <c r="M960" t="s">
        <v>51</v>
      </c>
    </row>
    <row r="961" spans="1:13" x14ac:dyDescent="0.35">
      <c r="A961">
        <v>976</v>
      </c>
      <c r="B961">
        <v>55</v>
      </c>
      <c r="C961" s="1" t="s">
        <v>10</v>
      </c>
      <c r="D961" s="1" t="s">
        <v>11</v>
      </c>
      <c r="E961" s="1" t="s">
        <v>12</v>
      </c>
      <c r="F961">
        <v>15000</v>
      </c>
      <c r="G961">
        <v>70</v>
      </c>
      <c r="H961" s="1" t="s">
        <v>18</v>
      </c>
      <c r="I961" s="1" t="s">
        <v>14</v>
      </c>
      <c r="J961">
        <v>3</v>
      </c>
      <c r="K961" t="s">
        <v>49</v>
      </c>
      <c r="L961" t="s">
        <v>59</v>
      </c>
      <c r="M961" t="s">
        <v>52</v>
      </c>
    </row>
    <row r="962" spans="1:13" x14ac:dyDescent="0.35">
      <c r="A962">
        <v>977</v>
      </c>
      <c r="B962">
        <v>62</v>
      </c>
      <c r="C962" s="1" t="s">
        <v>15</v>
      </c>
      <c r="D962" s="1" t="s">
        <v>16</v>
      </c>
      <c r="E962" s="1" t="s">
        <v>17</v>
      </c>
      <c r="F962">
        <v>2000</v>
      </c>
      <c r="G962">
        <v>68</v>
      </c>
      <c r="H962" s="1" t="s">
        <v>13</v>
      </c>
      <c r="I962" s="1" t="s">
        <v>19</v>
      </c>
      <c r="J962">
        <v>4</v>
      </c>
      <c r="K962" t="s">
        <v>55</v>
      </c>
      <c r="L962" t="s">
        <v>59</v>
      </c>
      <c r="M962" t="s">
        <v>51</v>
      </c>
    </row>
    <row r="963" spans="1:13" x14ac:dyDescent="0.35">
      <c r="A963">
        <v>978</v>
      </c>
      <c r="B963">
        <v>35</v>
      </c>
      <c r="C963" s="1" t="s">
        <v>10</v>
      </c>
      <c r="D963" s="1" t="s">
        <v>20</v>
      </c>
      <c r="E963" s="1" t="s">
        <v>21</v>
      </c>
      <c r="F963">
        <v>500</v>
      </c>
      <c r="G963">
        <v>66</v>
      </c>
      <c r="H963" s="1" t="s">
        <v>18</v>
      </c>
      <c r="I963" s="1" t="s">
        <v>14</v>
      </c>
      <c r="J963">
        <v>5</v>
      </c>
      <c r="K963" t="s">
        <v>53</v>
      </c>
      <c r="L963" t="s">
        <v>59</v>
      </c>
      <c r="M963" t="s">
        <v>51</v>
      </c>
    </row>
    <row r="964" spans="1:13" x14ac:dyDescent="0.35">
      <c r="A964">
        <v>979</v>
      </c>
      <c r="B964">
        <v>78</v>
      </c>
      <c r="C964" s="1" t="s">
        <v>15</v>
      </c>
      <c r="D964" s="1" t="s">
        <v>22</v>
      </c>
      <c r="E964" s="1" t="s">
        <v>23</v>
      </c>
      <c r="F964">
        <v>10000</v>
      </c>
      <c r="G964">
        <v>73</v>
      </c>
      <c r="H964" s="1" t="s">
        <v>13</v>
      </c>
      <c r="I964" s="1" t="s">
        <v>19</v>
      </c>
      <c r="J964">
        <v>2</v>
      </c>
      <c r="K964" t="s">
        <v>55</v>
      </c>
      <c r="L964" t="s">
        <v>59</v>
      </c>
      <c r="M964" t="s">
        <v>57</v>
      </c>
    </row>
    <row r="965" spans="1:13" x14ac:dyDescent="0.35">
      <c r="A965">
        <v>980</v>
      </c>
      <c r="B965">
        <v>53</v>
      </c>
      <c r="C965" s="1" t="s">
        <v>10</v>
      </c>
      <c r="D965" s="1" t="s">
        <v>24</v>
      </c>
      <c r="E965" s="1" t="s">
        <v>25</v>
      </c>
      <c r="F965">
        <v>25000</v>
      </c>
      <c r="G965">
        <v>75</v>
      </c>
      <c r="H965" s="1" t="s">
        <v>18</v>
      </c>
      <c r="I965" s="1" t="s">
        <v>14</v>
      </c>
      <c r="J965">
        <v>4</v>
      </c>
      <c r="K965" t="s">
        <v>49</v>
      </c>
      <c r="L965" t="s">
        <v>59</v>
      </c>
      <c r="M965" t="s">
        <v>51</v>
      </c>
    </row>
    <row r="966" spans="1:13" x14ac:dyDescent="0.35">
      <c r="A966">
        <v>981</v>
      </c>
      <c r="B966">
        <v>72</v>
      </c>
      <c r="C966" s="1" t="s">
        <v>15</v>
      </c>
      <c r="D966" s="1" t="s">
        <v>26</v>
      </c>
      <c r="E966" s="1" t="s">
        <v>27</v>
      </c>
      <c r="F966">
        <v>1000</v>
      </c>
      <c r="G966">
        <v>69</v>
      </c>
      <c r="H966" s="1" t="s">
        <v>13</v>
      </c>
      <c r="I966" s="1" t="s">
        <v>19</v>
      </c>
      <c r="J966">
        <v>4</v>
      </c>
      <c r="K966" t="s">
        <v>55</v>
      </c>
      <c r="L966" t="s">
        <v>59</v>
      </c>
      <c r="M966" t="s">
        <v>51</v>
      </c>
    </row>
    <row r="967" spans="1:13" x14ac:dyDescent="0.35">
      <c r="A967">
        <v>982</v>
      </c>
      <c r="B967">
        <v>60</v>
      </c>
      <c r="C967" s="1" t="s">
        <v>10</v>
      </c>
      <c r="D967" s="1" t="s">
        <v>28</v>
      </c>
      <c r="E967" s="1" t="s">
        <v>29</v>
      </c>
      <c r="F967">
        <v>8000</v>
      </c>
      <c r="G967">
        <v>71</v>
      </c>
      <c r="H967" s="1" t="s">
        <v>18</v>
      </c>
      <c r="I967" s="1" t="s">
        <v>14</v>
      </c>
      <c r="J967">
        <v>3</v>
      </c>
      <c r="K967" t="s">
        <v>49</v>
      </c>
      <c r="L967" t="s">
        <v>59</v>
      </c>
      <c r="M967" t="s">
        <v>52</v>
      </c>
    </row>
    <row r="968" spans="1:13" x14ac:dyDescent="0.35">
      <c r="A968">
        <v>983</v>
      </c>
      <c r="B968">
        <v>45</v>
      </c>
      <c r="C968" s="1" t="s">
        <v>15</v>
      </c>
      <c r="D968" s="1" t="s">
        <v>30</v>
      </c>
      <c r="E968" s="1" t="s">
        <v>31</v>
      </c>
      <c r="F968">
        <v>3000</v>
      </c>
      <c r="G968">
        <v>71</v>
      </c>
      <c r="H968" s="1" t="s">
        <v>13</v>
      </c>
      <c r="I968" s="1" t="s">
        <v>14</v>
      </c>
      <c r="J968">
        <v>4</v>
      </c>
      <c r="K968" t="s">
        <v>49</v>
      </c>
      <c r="L968" t="s">
        <v>59</v>
      </c>
      <c r="M968" t="s">
        <v>51</v>
      </c>
    </row>
    <row r="969" spans="1:13" x14ac:dyDescent="0.35">
      <c r="A969">
        <v>984</v>
      </c>
      <c r="B969">
        <v>75</v>
      </c>
      <c r="C969" s="1" t="s">
        <v>10</v>
      </c>
      <c r="D969" s="1" t="s">
        <v>32</v>
      </c>
      <c r="E969" s="1" t="s">
        <v>33</v>
      </c>
      <c r="F969">
        <v>18000</v>
      </c>
      <c r="G969">
        <v>73</v>
      </c>
      <c r="H969" s="1" t="s">
        <v>18</v>
      </c>
      <c r="I969" s="1" t="s">
        <v>19</v>
      </c>
      <c r="J969">
        <v>2</v>
      </c>
      <c r="K969" t="s">
        <v>55</v>
      </c>
      <c r="L969" t="s">
        <v>59</v>
      </c>
      <c r="M969" t="s">
        <v>57</v>
      </c>
    </row>
    <row r="970" spans="1:13" x14ac:dyDescent="0.35">
      <c r="A970">
        <v>985</v>
      </c>
      <c r="B970">
        <v>28</v>
      </c>
      <c r="C970" s="1" t="s">
        <v>15</v>
      </c>
      <c r="D970" s="1" t="s">
        <v>34</v>
      </c>
      <c r="E970" s="1" t="s">
        <v>35</v>
      </c>
      <c r="F970">
        <v>100</v>
      </c>
      <c r="G970">
        <v>67</v>
      </c>
      <c r="H970" s="1" t="s">
        <v>13</v>
      </c>
      <c r="I970" s="1" t="s">
        <v>14</v>
      </c>
      <c r="J970">
        <v>5</v>
      </c>
      <c r="K970" t="s">
        <v>53</v>
      </c>
      <c r="L970" t="s">
        <v>59</v>
      </c>
      <c r="M970" t="s">
        <v>51</v>
      </c>
    </row>
    <row r="971" spans="1:13" x14ac:dyDescent="0.35">
      <c r="A971">
        <v>986</v>
      </c>
      <c r="B971">
        <v>52</v>
      </c>
      <c r="C971" s="1" t="s">
        <v>10</v>
      </c>
      <c r="D971" s="1" t="s">
        <v>36</v>
      </c>
      <c r="E971" s="1" t="s">
        <v>37</v>
      </c>
      <c r="F971">
        <v>800</v>
      </c>
      <c r="G971">
        <v>68</v>
      </c>
      <c r="H971" s="1" t="s">
        <v>13</v>
      </c>
      <c r="I971" s="1" t="s">
        <v>19</v>
      </c>
      <c r="J971">
        <v>4</v>
      </c>
      <c r="K971" t="s">
        <v>49</v>
      </c>
      <c r="L971" t="s">
        <v>59</v>
      </c>
      <c r="M971" t="s">
        <v>51</v>
      </c>
    </row>
    <row r="972" spans="1:13" x14ac:dyDescent="0.35">
      <c r="A972">
        <v>987</v>
      </c>
      <c r="B972">
        <v>67</v>
      </c>
      <c r="C972" s="1" t="s">
        <v>15</v>
      </c>
      <c r="D972" s="1" t="s">
        <v>38</v>
      </c>
      <c r="E972" s="1" t="s">
        <v>39</v>
      </c>
      <c r="F972">
        <v>20000</v>
      </c>
      <c r="G972">
        <v>74</v>
      </c>
      <c r="H972" s="1" t="s">
        <v>13</v>
      </c>
      <c r="I972" s="1" t="s">
        <v>14</v>
      </c>
      <c r="J972">
        <v>3</v>
      </c>
      <c r="K972" t="s">
        <v>55</v>
      </c>
      <c r="L972" t="s">
        <v>59</v>
      </c>
      <c r="M972" t="s">
        <v>52</v>
      </c>
    </row>
    <row r="973" spans="1:13" x14ac:dyDescent="0.35">
      <c r="A973">
        <v>988</v>
      </c>
      <c r="B973">
        <v>35</v>
      </c>
      <c r="C973" s="1" t="s">
        <v>10</v>
      </c>
      <c r="D973" s="1" t="s">
        <v>40</v>
      </c>
      <c r="E973" s="1" t="s">
        <v>41</v>
      </c>
      <c r="F973">
        <v>12000</v>
      </c>
      <c r="G973">
        <v>68</v>
      </c>
      <c r="H973" s="1" t="s">
        <v>13</v>
      </c>
      <c r="I973" s="1" t="s">
        <v>14</v>
      </c>
      <c r="J973">
        <v>4</v>
      </c>
      <c r="K973" t="s">
        <v>53</v>
      </c>
      <c r="L973" t="s">
        <v>59</v>
      </c>
      <c r="M973" t="s">
        <v>51</v>
      </c>
    </row>
    <row r="974" spans="1:13" x14ac:dyDescent="0.35">
      <c r="A974">
        <v>989</v>
      </c>
      <c r="B974">
        <v>50</v>
      </c>
      <c r="C974" s="1" t="s">
        <v>15</v>
      </c>
      <c r="D974" s="1" t="s">
        <v>42</v>
      </c>
      <c r="E974" s="1" t="s">
        <v>43</v>
      </c>
      <c r="F974">
        <v>6000</v>
      </c>
      <c r="G974">
        <v>69</v>
      </c>
      <c r="H974" s="1" t="s">
        <v>13</v>
      </c>
      <c r="I974" s="1" t="s">
        <v>14</v>
      </c>
      <c r="J974">
        <v>3</v>
      </c>
      <c r="K974" t="s">
        <v>49</v>
      </c>
      <c r="L974" t="s">
        <v>59</v>
      </c>
      <c r="M974" t="s">
        <v>52</v>
      </c>
    </row>
    <row r="975" spans="1:13" x14ac:dyDescent="0.35">
      <c r="A975">
        <v>990</v>
      </c>
      <c r="B975">
        <v>60</v>
      </c>
      <c r="C975" s="1" t="s">
        <v>10</v>
      </c>
      <c r="D975" s="1" t="s">
        <v>44</v>
      </c>
      <c r="E975" s="1" t="s">
        <v>45</v>
      </c>
      <c r="F975">
        <v>4000</v>
      </c>
      <c r="G975">
        <v>70</v>
      </c>
      <c r="H975" s="1" t="s">
        <v>13</v>
      </c>
      <c r="I975" s="1" t="s">
        <v>19</v>
      </c>
      <c r="J975">
        <v>4</v>
      </c>
      <c r="K975" t="s">
        <v>49</v>
      </c>
      <c r="L975" t="s">
        <v>59</v>
      </c>
      <c r="M975" t="s">
        <v>51</v>
      </c>
    </row>
    <row r="976" spans="1:13" x14ac:dyDescent="0.35">
      <c r="A976">
        <v>991</v>
      </c>
      <c r="B976">
        <v>48</v>
      </c>
      <c r="C976" s="1" t="s">
        <v>10</v>
      </c>
      <c r="D976" s="1" t="s">
        <v>11</v>
      </c>
      <c r="E976" s="1" t="s">
        <v>12</v>
      </c>
      <c r="F976">
        <v>15000</v>
      </c>
      <c r="G976">
        <v>71</v>
      </c>
      <c r="H976" s="1" t="s">
        <v>18</v>
      </c>
      <c r="I976" s="1" t="s">
        <v>14</v>
      </c>
      <c r="J976">
        <v>4</v>
      </c>
      <c r="K976" t="s">
        <v>49</v>
      </c>
      <c r="L976" t="s">
        <v>59</v>
      </c>
      <c r="M976" t="s">
        <v>51</v>
      </c>
    </row>
    <row r="977" spans="1:13" x14ac:dyDescent="0.35">
      <c r="A977">
        <v>992</v>
      </c>
      <c r="B977">
        <v>65</v>
      </c>
      <c r="C977" s="1" t="s">
        <v>15</v>
      </c>
      <c r="D977" s="1" t="s">
        <v>16</v>
      </c>
      <c r="E977" s="1" t="s">
        <v>17</v>
      </c>
      <c r="F977">
        <v>2000</v>
      </c>
      <c r="G977">
        <v>69</v>
      </c>
      <c r="H977" s="1" t="s">
        <v>13</v>
      </c>
      <c r="I977" s="1" t="s">
        <v>19</v>
      </c>
      <c r="J977">
        <v>3</v>
      </c>
      <c r="K977" t="s">
        <v>55</v>
      </c>
      <c r="L977" t="s">
        <v>59</v>
      </c>
      <c r="M977" t="s">
        <v>52</v>
      </c>
    </row>
    <row r="978" spans="1:13" x14ac:dyDescent="0.35">
      <c r="A978">
        <v>993</v>
      </c>
      <c r="B978">
        <v>30</v>
      </c>
      <c r="C978" s="1" t="s">
        <v>10</v>
      </c>
      <c r="D978" s="1" t="s">
        <v>20</v>
      </c>
      <c r="E978" s="1" t="s">
        <v>21</v>
      </c>
      <c r="F978">
        <v>500</v>
      </c>
      <c r="G978">
        <v>67</v>
      </c>
      <c r="H978" s="1" t="s">
        <v>13</v>
      </c>
      <c r="I978" s="1" t="s">
        <v>14</v>
      </c>
      <c r="J978">
        <v>5</v>
      </c>
      <c r="K978" t="s">
        <v>53</v>
      </c>
      <c r="L978" t="s">
        <v>59</v>
      </c>
      <c r="M978" t="s">
        <v>51</v>
      </c>
    </row>
    <row r="979" spans="1:13" x14ac:dyDescent="0.35">
      <c r="A979">
        <v>994</v>
      </c>
      <c r="B979">
        <v>70</v>
      </c>
      <c r="C979" s="1" t="s">
        <v>15</v>
      </c>
      <c r="D979" s="1" t="s">
        <v>22</v>
      </c>
      <c r="E979" s="1" t="s">
        <v>23</v>
      </c>
      <c r="F979">
        <v>10000</v>
      </c>
      <c r="G979">
        <v>74</v>
      </c>
      <c r="H979" s="1" t="s">
        <v>18</v>
      </c>
      <c r="I979" s="1" t="s">
        <v>19</v>
      </c>
      <c r="J979">
        <v>2</v>
      </c>
      <c r="K979" t="s">
        <v>55</v>
      </c>
      <c r="L979" t="s">
        <v>59</v>
      </c>
      <c r="M979" t="s">
        <v>57</v>
      </c>
    </row>
    <row r="980" spans="1:13" x14ac:dyDescent="0.35">
      <c r="A980">
        <v>995</v>
      </c>
      <c r="B980">
        <v>55</v>
      </c>
      <c r="C980" s="1" t="s">
        <v>10</v>
      </c>
      <c r="D980" s="1" t="s">
        <v>24</v>
      </c>
      <c r="E980" s="1" t="s">
        <v>25</v>
      </c>
      <c r="F980">
        <v>25000</v>
      </c>
      <c r="G980">
        <v>76</v>
      </c>
      <c r="H980" s="1" t="s">
        <v>13</v>
      </c>
      <c r="I980" s="1" t="s">
        <v>14</v>
      </c>
      <c r="J980">
        <v>4</v>
      </c>
      <c r="K980" t="s">
        <v>49</v>
      </c>
      <c r="L980" t="s">
        <v>59</v>
      </c>
      <c r="M980" t="s">
        <v>51</v>
      </c>
    </row>
    <row r="981" spans="1:13" x14ac:dyDescent="0.35">
      <c r="A981">
        <v>996</v>
      </c>
      <c r="B981">
        <v>68</v>
      </c>
      <c r="C981" s="1" t="s">
        <v>15</v>
      </c>
      <c r="D981" s="1" t="s">
        <v>26</v>
      </c>
      <c r="E981" s="1" t="s">
        <v>27</v>
      </c>
      <c r="F981">
        <v>1000</v>
      </c>
      <c r="G981">
        <v>70</v>
      </c>
      <c r="H981" s="1" t="s">
        <v>13</v>
      </c>
      <c r="I981" s="1" t="s">
        <v>19</v>
      </c>
      <c r="J981">
        <v>4</v>
      </c>
      <c r="K981" t="s">
        <v>55</v>
      </c>
      <c r="L981" t="s">
        <v>59</v>
      </c>
      <c r="M981" t="s">
        <v>51</v>
      </c>
    </row>
    <row r="982" spans="1:13" x14ac:dyDescent="0.35">
      <c r="A982">
        <v>997</v>
      </c>
      <c r="B982">
        <v>45</v>
      </c>
      <c r="C982" s="1" t="s">
        <v>10</v>
      </c>
      <c r="D982" s="1" t="s">
        <v>28</v>
      </c>
      <c r="E982" s="1" t="s">
        <v>29</v>
      </c>
      <c r="F982">
        <v>8000</v>
      </c>
      <c r="G982">
        <v>72</v>
      </c>
      <c r="H982" s="1" t="s">
        <v>13</v>
      </c>
      <c r="I982" s="1" t="s">
        <v>14</v>
      </c>
      <c r="J982">
        <v>3</v>
      </c>
      <c r="K982" t="s">
        <v>49</v>
      </c>
      <c r="L982" t="s">
        <v>59</v>
      </c>
      <c r="M982" t="s">
        <v>52</v>
      </c>
    </row>
    <row r="983" spans="1:13" x14ac:dyDescent="0.35">
      <c r="A983">
        <v>998</v>
      </c>
      <c r="B983">
        <v>40</v>
      </c>
      <c r="C983" s="1" t="s">
        <v>15</v>
      </c>
      <c r="D983" s="1" t="s">
        <v>30</v>
      </c>
      <c r="E983" s="1" t="s">
        <v>31</v>
      </c>
      <c r="F983">
        <v>3000</v>
      </c>
      <c r="G983">
        <v>72</v>
      </c>
      <c r="H983" s="1" t="s">
        <v>13</v>
      </c>
      <c r="I983" s="1" t="s">
        <v>14</v>
      </c>
      <c r="J983">
        <v>4</v>
      </c>
      <c r="K983" t="s">
        <v>49</v>
      </c>
      <c r="L983" t="s">
        <v>59</v>
      </c>
      <c r="M983" t="s">
        <v>51</v>
      </c>
    </row>
    <row r="984" spans="1:13" x14ac:dyDescent="0.35">
      <c r="A984">
        <v>999</v>
      </c>
      <c r="B984">
        <v>78</v>
      </c>
      <c r="C984" s="1" t="s">
        <v>10</v>
      </c>
      <c r="D984" s="1" t="s">
        <v>32</v>
      </c>
      <c r="E984" s="1" t="s">
        <v>33</v>
      </c>
      <c r="F984">
        <v>18000</v>
      </c>
      <c r="G984">
        <v>74</v>
      </c>
      <c r="H984" s="1" t="s">
        <v>18</v>
      </c>
      <c r="I984" s="1" t="s">
        <v>19</v>
      </c>
      <c r="J984">
        <v>2</v>
      </c>
      <c r="K984" t="s">
        <v>55</v>
      </c>
      <c r="L984" t="s">
        <v>59</v>
      </c>
      <c r="M984" t="s">
        <v>57</v>
      </c>
    </row>
    <row r="985" spans="1:13" x14ac:dyDescent="0.35">
      <c r="A985">
        <v>1000</v>
      </c>
      <c r="B985">
        <v>25</v>
      </c>
      <c r="C985" s="1" t="s">
        <v>15</v>
      </c>
      <c r="D985" s="1" t="s">
        <v>34</v>
      </c>
      <c r="E985" s="1" t="s">
        <v>35</v>
      </c>
      <c r="F985">
        <v>100</v>
      </c>
      <c r="G985">
        <v>68</v>
      </c>
      <c r="H985" s="1" t="s">
        <v>13</v>
      </c>
      <c r="I985" s="1" t="s">
        <v>14</v>
      </c>
      <c r="J985">
        <v>5</v>
      </c>
      <c r="K985" t="s">
        <v>53</v>
      </c>
      <c r="L985" t="s">
        <v>59</v>
      </c>
      <c r="M985" t="s">
        <v>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60"/>
  <sheetViews>
    <sheetView workbookViewId="0">
      <selection activeCell="I60" sqref="I60"/>
    </sheetView>
  </sheetViews>
  <sheetFormatPr defaultRowHeight="14.5" x14ac:dyDescent="0.35"/>
  <cols>
    <col min="2" max="2" width="17.7265625" bestFit="1" customWidth="1"/>
    <col min="3" max="4" width="12.6328125" bestFit="1" customWidth="1"/>
    <col min="5" max="5" width="18.6328125" bestFit="1" customWidth="1"/>
    <col min="6" max="6" width="10.7265625" bestFit="1" customWidth="1"/>
    <col min="7" max="7" width="20.54296875" bestFit="1" customWidth="1"/>
    <col min="8" max="8" width="22.453125" bestFit="1" customWidth="1"/>
    <col min="9" max="9" width="25.36328125" bestFit="1" customWidth="1"/>
  </cols>
  <sheetData>
    <row r="2" spans="2:5" x14ac:dyDescent="0.35">
      <c r="B2" t="s">
        <v>65</v>
      </c>
      <c r="C2" t="s">
        <v>62</v>
      </c>
      <c r="D2" t="s">
        <v>63</v>
      </c>
      <c r="E2" t="s">
        <v>64</v>
      </c>
    </row>
    <row r="3" spans="2:5" x14ac:dyDescent="0.35">
      <c r="B3" s="1">
        <v>984</v>
      </c>
      <c r="C3" s="2">
        <v>53.75406504065041</v>
      </c>
      <c r="D3" s="2">
        <v>37.663617886178862</v>
      </c>
      <c r="E3" s="2">
        <v>3.5985772357723578</v>
      </c>
    </row>
    <row r="4" spans="2:5" x14ac:dyDescent="0.35">
      <c r="B4">
        <f>GETPIVOTDATA("Count of Patient_ID",$B$2)</f>
        <v>984</v>
      </c>
      <c r="C4" s="2">
        <f>GETPIVOTDATA("Average of Age",$B$2)</f>
        <v>53.75406504065041</v>
      </c>
      <c r="D4" s="2">
        <f>GETPIVOTDATA("Average of Length_of_Stay",$B$2)</f>
        <v>37.663617886178862</v>
      </c>
      <c r="E4" s="2">
        <f>GETPIVOTDATA("Average of Satisfaction",$B$2)</f>
        <v>3.5985772357723578</v>
      </c>
    </row>
    <row r="6" spans="2:5" x14ac:dyDescent="0.35">
      <c r="B6" s="3" t="s">
        <v>65</v>
      </c>
      <c r="C6" s="3" t="s">
        <v>68</v>
      </c>
    </row>
    <row r="7" spans="2:5" x14ac:dyDescent="0.35">
      <c r="B7" s="3" t="s">
        <v>66</v>
      </c>
      <c r="C7" t="s">
        <v>10</v>
      </c>
      <c r="D7" t="s">
        <v>15</v>
      </c>
      <c r="E7" t="s">
        <v>67</v>
      </c>
    </row>
    <row r="8" spans="2:5" x14ac:dyDescent="0.35">
      <c r="B8" s="4" t="s">
        <v>49</v>
      </c>
      <c r="C8" s="1">
        <v>294</v>
      </c>
      <c r="D8" s="1">
        <v>165</v>
      </c>
      <c r="E8" s="1">
        <v>459</v>
      </c>
    </row>
    <row r="9" spans="2:5" x14ac:dyDescent="0.35">
      <c r="B9" s="4" t="s">
        <v>55</v>
      </c>
      <c r="C9" s="1">
        <v>99</v>
      </c>
      <c r="D9" s="1">
        <v>229</v>
      </c>
      <c r="E9" s="1">
        <v>328</v>
      </c>
    </row>
    <row r="10" spans="2:5" x14ac:dyDescent="0.35">
      <c r="B10" s="4" t="s">
        <v>53</v>
      </c>
      <c r="C10" s="1">
        <v>131</v>
      </c>
      <c r="D10" s="1">
        <v>66</v>
      </c>
      <c r="E10" s="1">
        <v>197</v>
      </c>
    </row>
    <row r="11" spans="2:5" x14ac:dyDescent="0.35">
      <c r="B11" s="4" t="s">
        <v>67</v>
      </c>
      <c r="C11" s="1">
        <v>524</v>
      </c>
      <c r="D11" s="1">
        <v>460</v>
      </c>
      <c r="E11" s="1">
        <v>984</v>
      </c>
    </row>
    <row r="19" spans="2:5" x14ac:dyDescent="0.35">
      <c r="B19" s="3" t="s">
        <v>66</v>
      </c>
      <c r="C19" t="s">
        <v>60</v>
      </c>
    </row>
    <row r="20" spans="2:5" x14ac:dyDescent="0.35">
      <c r="B20" s="4" t="s">
        <v>28</v>
      </c>
      <c r="C20" s="1">
        <v>32667</v>
      </c>
    </row>
    <row r="21" spans="2:5" x14ac:dyDescent="0.35">
      <c r="B21" s="4" t="s">
        <v>20</v>
      </c>
      <c r="C21" s="1">
        <v>33123</v>
      </c>
    </row>
    <row r="22" spans="2:5" x14ac:dyDescent="0.35">
      <c r="B22" s="4" t="s">
        <v>34</v>
      </c>
      <c r="C22" s="1">
        <v>33540</v>
      </c>
    </row>
    <row r="23" spans="2:5" x14ac:dyDescent="0.35">
      <c r="B23" s="4" t="s">
        <v>30</v>
      </c>
      <c r="C23" s="1">
        <v>33701</v>
      </c>
    </row>
    <row r="24" spans="2:5" x14ac:dyDescent="0.35">
      <c r="B24" s="4" t="s">
        <v>32</v>
      </c>
      <c r="C24" s="1">
        <v>33768</v>
      </c>
    </row>
    <row r="25" spans="2:5" x14ac:dyDescent="0.35">
      <c r="B25" s="4" t="s">
        <v>67</v>
      </c>
      <c r="C25" s="1">
        <v>166799</v>
      </c>
    </row>
    <row r="30" spans="2:5" x14ac:dyDescent="0.35">
      <c r="B30" s="3" t="s">
        <v>65</v>
      </c>
      <c r="C30" s="3" t="s">
        <v>68</v>
      </c>
    </row>
    <row r="31" spans="2:5" x14ac:dyDescent="0.35">
      <c r="B31" s="3" t="s">
        <v>66</v>
      </c>
      <c r="C31" t="s">
        <v>10</v>
      </c>
      <c r="D31" t="s">
        <v>15</v>
      </c>
      <c r="E31" t="s">
        <v>67</v>
      </c>
    </row>
    <row r="32" spans="2:5" x14ac:dyDescent="0.35">
      <c r="B32" s="4" t="s">
        <v>14</v>
      </c>
      <c r="C32" s="1">
        <v>328</v>
      </c>
      <c r="D32" s="1">
        <v>263</v>
      </c>
      <c r="E32" s="1">
        <v>591</v>
      </c>
    </row>
    <row r="33" spans="2:5" x14ac:dyDescent="0.35">
      <c r="B33" s="4" t="s">
        <v>19</v>
      </c>
      <c r="C33" s="1">
        <v>196</v>
      </c>
      <c r="D33" s="1">
        <v>197</v>
      </c>
      <c r="E33" s="1">
        <v>393</v>
      </c>
    </row>
    <row r="34" spans="2:5" x14ac:dyDescent="0.35">
      <c r="B34" s="4" t="s">
        <v>67</v>
      </c>
      <c r="C34" s="1">
        <v>524</v>
      </c>
      <c r="D34" s="1">
        <v>460</v>
      </c>
      <c r="E34" s="1">
        <v>984</v>
      </c>
    </row>
    <row r="41" spans="2:5" x14ac:dyDescent="0.35">
      <c r="C41" s="3" t="s">
        <v>66</v>
      </c>
      <c r="D41" t="s">
        <v>61</v>
      </c>
    </row>
    <row r="42" spans="2:5" x14ac:dyDescent="0.35">
      <c r="C42" s="4" t="s">
        <v>59</v>
      </c>
      <c r="D42" s="1">
        <v>30369</v>
      </c>
    </row>
    <row r="43" spans="2:5" x14ac:dyDescent="0.35">
      <c r="C43" s="4" t="s">
        <v>58</v>
      </c>
      <c r="D43" s="1">
        <v>6060</v>
      </c>
    </row>
    <row r="44" spans="2:5" x14ac:dyDescent="0.35">
      <c r="C44" s="4" t="s">
        <v>56</v>
      </c>
      <c r="D44" s="1">
        <v>522</v>
      </c>
    </row>
    <row r="45" spans="2:5" x14ac:dyDescent="0.35">
      <c r="C45" s="4" t="s">
        <v>50</v>
      </c>
      <c r="D45" s="1">
        <v>100</v>
      </c>
    </row>
    <row r="46" spans="2:5" x14ac:dyDescent="0.35">
      <c r="C46" s="4" t="s">
        <v>54</v>
      </c>
      <c r="D46" s="1">
        <v>10</v>
      </c>
    </row>
    <row r="47" spans="2:5" x14ac:dyDescent="0.35">
      <c r="C47" s="4" t="s">
        <v>67</v>
      </c>
      <c r="D47" s="1">
        <v>37061</v>
      </c>
    </row>
    <row r="56" spans="4:5" x14ac:dyDescent="0.35">
      <c r="D56" s="3" t="s">
        <v>66</v>
      </c>
      <c r="E56" t="s">
        <v>69</v>
      </c>
    </row>
    <row r="57" spans="4:5" x14ac:dyDescent="0.35">
      <c r="D57" s="4" t="s">
        <v>51</v>
      </c>
      <c r="E57" s="1">
        <v>590</v>
      </c>
    </row>
    <row r="58" spans="4:5" x14ac:dyDescent="0.35">
      <c r="D58" s="4" t="s">
        <v>52</v>
      </c>
      <c r="E58" s="1">
        <v>261</v>
      </c>
    </row>
    <row r="59" spans="4:5" x14ac:dyDescent="0.35">
      <c r="D59" s="4" t="s">
        <v>57</v>
      </c>
      <c r="E59" s="1">
        <v>133</v>
      </c>
    </row>
    <row r="60" spans="4:5" x14ac:dyDescent="0.35">
      <c r="D60" s="4" t="s">
        <v>67</v>
      </c>
      <c r="E60" s="1">
        <v>984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5B4D54-836E-473A-80E3-E4340B46642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hospital data analysis</vt:lpstr>
      <vt:lpstr>Pivot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Igana</dc:creator>
  <cp:lastModifiedBy>Brian Igana</cp:lastModifiedBy>
  <dcterms:created xsi:type="dcterms:W3CDTF">2015-06-05T18:17:20Z</dcterms:created>
  <dcterms:modified xsi:type="dcterms:W3CDTF">2026-06-09T21:24:25Z</dcterms:modified>
</cp:coreProperties>
</file>